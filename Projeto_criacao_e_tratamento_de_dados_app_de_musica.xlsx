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6c9438ad18f5d8/"/>
    </mc:Choice>
  </mc:AlternateContent>
  <xr:revisionPtr revIDLastSave="4102" documentId="8_{471F67D2-3D82-4EF2-933D-4CA79780C40A}" xr6:coauthVersionLast="47" xr6:coauthVersionMax="47" xr10:uidLastSave="{791559DA-D230-4F94-B068-54F2B2936E88}"/>
  <bookViews>
    <workbookView xWindow="2688" yWindow="2688" windowWidth="17280" windowHeight="8880" xr2:uid="{0EED56BE-0940-4E77-8D4D-63EC60EC708B}"/>
  </bookViews>
  <sheets>
    <sheet name="Search Bar" sheetId="2" r:id="rId1"/>
    <sheet name="Search Bar (recommended)" sheetId="5" r:id="rId2"/>
    <sheet name="Spotify Streaming Performance D" sheetId="1" r:id="rId3"/>
    <sheet name="Dashboard" sheetId="6" r:id="rId4"/>
    <sheet name="supplementary tables" sheetId="7" r:id="rId5"/>
  </sheets>
  <definedNames>
    <definedName name="SegmentaçãodeDados_Country_of_Origin">#N/A</definedName>
    <definedName name="SegmentaçãodeDados_Primary_Genre">#N/A</definedName>
    <definedName name="SegmentaçãodeDados_Primary_Language">#N/A</definedName>
    <definedName name="SegmentaçãodeDados_Sex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7" l="1"/>
  <c r="B6" i="5" a="1"/>
  <c r="B6" i="5" s="1"/>
  <c r="B12" i="5" a="1"/>
  <c r="B12" i="5" s="1"/>
  <c r="B11" i="5" a="1"/>
  <c r="B11" i="5" s="1"/>
  <c r="B10" i="5" a="1"/>
  <c r="B10" i="5" s="1"/>
  <c r="B9" i="5" a="1"/>
  <c r="B9" i="5" s="1"/>
  <c r="D12" i="5" a="1"/>
  <c r="D12" i="5" s="1"/>
  <c r="D11" i="5" a="1"/>
  <c r="D11" i="5" s="1"/>
  <c r="D10" i="5" a="1"/>
  <c r="D10" i="5" s="1"/>
  <c r="D9" i="5" a="1"/>
  <c r="D9" i="5" s="1"/>
  <c r="B8" i="5" a="1"/>
  <c r="B8" i="5" s="1"/>
  <c r="B7" i="5" a="1"/>
  <c r="B7" i="5" s="1"/>
  <c r="B5" i="5" a="1"/>
  <c r="B5" i="5" s="1"/>
  <c r="D3" i="5" a="1"/>
  <c r="D3" i="5" s="1"/>
  <c r="B3" i="5" a="1"/>
  <c r="B3" i="5" s="1"/>
  <c r="B4" i="5" a="1"/>
  <c r="B4" i="5" s="1"/>
  <c r="B2" i="5" a="1"/>
  <c r="B2" i="5" s="1"/>
  <c r="D12" i="2" a="1"/>
  <c r="D12" i="2" s="1"/>
  <c r="D11" i="2" a="1"/>
  <c r="D11" i="2" s="1"/>
  <c r="D10" i="2" a="1"/>
  <c r="D10" i="2" s="1"/>
  <c r="D9" i="2" a="1"/>
  <c r="D9" i="2" s="1"/>
  <c r="B12" i="2" a="1"/>
  <c r="B12" i="2" s="1"/>
  <c r="B11" i="2" a="1"/>
  <c r="B11" i="2" s="1"/>
  <c r="B10" i="2" a="1"/>
  <c r="B10" i="2" s="1"/>
  <c r="B9" i="2" a="1"/>
  <c r="B9" i="2" s="1"/>
  <c r="B8" i="2" a="1"/>
  <c r="B8" i="2" s="1"/>
  <c r="B7" i="2" a="1"/>
  <c r="B7" i="2" s="1"/>
  <c r="B6" i="2" a="1"/>
  <c r="B6" i="2" s="1"/>
  <c r="B5" i="2" a="1"/>
  <c r="B5" i="2" s="1"/>
  <c r="D2" i="2" a="1"/>
  <c r="D2" i="2" s="1"/>
  <c r="B3" i="2" a="1"/>
  <c r="B3" i="2" s="1"/>
  <c r="B4" i="2" a="1"/>
  <c r="B4" i="2" s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<sst xmlns="http://schemas.openxmlformats.org/spreadsheetml/2006/main" count="3082" uniqueCount="614">
  <si>
    <t>Artist Name</t>
  </si>
  <si>
    <t>Sex</t>
  </si>
  <si>
    <t>Country of Origin</t>
  </si>
  <si>
    <t>Primary Language</t>
  </si>
  <si>
    <t>Primary Genre</t>
  </si>
  <si>
    <t xml:space="preserve"> Artist Type</t>
  </si>
  <si>
    <t>Debut Year</t>
  </si>
  <si>
    <t>Total Streams (in millions)</t>
  </si>
  <si>
    <t>Lead Streams (in millions)</t>
  </si>
  <si>
    <t>% of Lead Streams</t>
  </si>
  <si>
    <t>Feature Streams (in millions)</t>
  </si>
  <si>
    <t>% of Feature Streams</t>
  </si>
  <si>
    <t>Solo Streams (in millions)</t>
  </si>
  <si>
    <t>% of Solo Streams</t>
  </si>
  <si>
    <t>Collaborative Streams (in millions)</t>
  </si>
  <si>
    <t>% of Collaborative Streams</t>
  </si>
  <si>
    <t>$uicideboy$</t>
  </si>
  <si>
    <t>Male</t>
  </si>
  <si>
    <t>United States</t>
  </si>
  <si>
    <t>English</t>
  </si>
  <si>
    <t>Hip-Hop</t>
  </si>
  <si>
    <t>Group</t>
  </si>
  <si>
    <t>2 Chainz</t>
  </si>
  <si>
    <t>Solo</t>
  </si>
  <si>
    <t>21 Savage</t>
  </si>
  <si>
    <t>United Kingdom</t>
  </si>
  <si>
    <t>2Pac</t>
  </si>
  <si>
    <t>5 Seconds of Summer</t>
  </si>
  <si>
    <t>Australia</t>
  </si>
  <si>
    <t>Rock</t>
  </si>
  <si>
    <t>50 Cent</t>
  </si>
  <si>
    <t>6ix9ine</t>
  </si>
  <si>
    <t>6LACK</t>
  </si>
  <si>
    <t>R&amp;B</t>
  </si>
  <si>
    <t>A Boogie Wit da Hoodie</t>
  </si>
  <si>
    <t>A$AP Rocky</t>
  </si>
  <si>
    <t>A.R. Rahman</t>
  </si>
  <si>
    <t>India</t>
  </si>
  <si>
    <t>Tamil</t>
  </si>
  <si>
    <t>Filmi</t>
  </si>
  <si>
    <t>Ã‘engo Flow</t>
  </si>
  <si>
    <t>Spanish</t>
  </si>
  <si>
    <t>Reggaeton</t>
  </si>
  <si>
    <t>ABBA</t>
  </si>
  <si>
    <t>Mixed</t>
  </si>
  <si>
    <t>Sweden</t>
  </si>
  <si>
    <t>Pop</t>
  </si>
  <si>
    <t>AC/DC</t>
  </si>
  <si>
    <t>Adele</t>
  </si>
  <si>
    <t>Female</t>
  </si>
  <si>
    <t>Aerosmith</t>
  </si>
  <si>
    <t>Akon</t>
  </si>
  <si>
    <t>Senegal</t>
  </si>
  <si>
    <t>Alan Walker</t>
  </si>
  <si>
    <t>Norway</t>
  </si>
  <si>
    <t>EDM</t>
  </si>
  <si>
    <t>Alejandro FernÃ¡ndez</t>
  </si>
  <si>
    <t>Mexico</t>
  </si>
  <si>
    <t>Latin</t>
  </si>
  <si>
    <t>Alejandro Sanz</t>
  </si>
  <si>
    <t>Spain</t>
  </si>
  <si>
    <t>Alessia Cara</t>
  </si>
  <si>
    <t>Canada</t>
  </si>
  <si>
    <t>Alesso</t>
  </si>
  <si>
    <t>Alfredo Olivas</t>
  </si>
  <si>
    <t>Regional Mexican</t>
  </si>
  <si>
    <t>Alicia Keys</t>
  </si>
  <si>
    <t>Alka Yagnik</t>
  </si>
  <si>
    <t>Hindi</t>
  </si>
  <si>
    <t>Alok</t>
  </si>
  <si>
    <t>Brazil</t>
  </si>
  <si>
    <t>Portuguese</t>
  </si>
  <si>
    <t>Amitabh Bhattacharya</t>
  </si>
  <si>
    <t>Amy Winehouse</t>
  </si>
  <si>
    <t>Soul</t>
  </si>
  <si>
    <t>Ana Castela</t>
  </si>
  <si>
    <t>Sertanjeo</t>
  </si>
  <si>
    <t>Anderson .Paak</t>
  </si>
  <si>
    <t>Anirudh Ravichander</t>
  </si>
  <si>
    <t>Anitta</t>
  </si>
  <si>
    <t>Anne-Marie</t>
  </si>
  <si>
    <t>Anuel AA</t>
  </si>
  <si>
    <t>ArcÃ¡ngel</t>
  </si>
  <si>
    <t>Arctic Monkeys</t>
  </si>
  <si>
    <t>Ariana Grande</t>
  </si>
  <si>
    <t>Arijit Singh</t>
  </si>
  <si>
    <t>Atif Aslam</t>
  </si>
  <si>
    <t>Pakistan</t>
  </si>
  <si>
    <t>Urdu</t>
  </si>
  <si>
    <t>Ava Max</t>
  </si>
  <si>
    <t>Avenged Sevenfold</t>
  </si>
  <si>
    <t>Metal</t>
  </si>
  <si>
    <t>Aventura</t>
  </si>
  <si>
    <t>Bachata</t>
  </si>
  <si>
    <t>Avicii</t>
  </si>
  <si>
    <t>Avril Lavigne</t>
  </si>
  <si>
    <t>B.o.B</t>
  </si>
  <si>
    <t>Backstreet Boys</t>
  </si>
  <si>
    <t>Bad Bunny</t>
  </si>
  <si>
    <t>Banda MS de Sergio LizÃ¡rraga</t>
  </si>
  <si>
    <t>Bastille</t>
  </si>
  <si>
    <t>Alternative</t>
  </si>
  <si>
    <t>BeÃ©le</t>
  </si>
  <si>
    <t>Colombia</t>
  </si>
  <si>
    <t>beabadoobee</t>
  </si>
  <si>
    <t>Philippines</t>
  </si>
  <si>
    <t>Bebe Rexha</t>
  </si>
  <si>
    <t>Becky G</t>
  </si>
  <si>
    <t>Bee Gees</t>
  </si>
  <si>
    <t>benny blanco</t>
  </si>
  <si>
    <t>Benson Boone</t>
  </si>
  <si>
    <t>BeyoncÃ©</t>
  </si>
  <si>
    <t>Bibi Blocksberg</t>
  </si>
  <si>
    <t>Germany</t>
  </si>
  <si>
    <t>German</t>
  </si>
  <si>
    <t>Children's Music</t>
  </si>
  <si>
    <t>Big Sean</t>
  </si>
  <si>
    <t>Billie Eilish</t>
  </si>
  <si>
    <t>Billy Joel</t>
  </si>
  <si>
    <t>Bizarrap</t>
  </si>
  <si>
    <t>Argentina</t>
  </si>
  <si>
    <t>Black Eyed Peas</t>
  </si>
  <si>
    <t>blackbear</t>
  </si>
  <si>
    <t>BLACKPINK</t>
  </si>
  <si>
    <t>South Korea</t>
  </si>
  <si>
    <t>Korean</t>
  </si>
  <si>
    <t>K-Pop</t>
  </si>
  <si>
    <t>Blessd</t>
  </si>
  <si>
    <t>blink-182</t>
  </si>
  <si>
    <t>Bob Marley &amp; The Wailers</t>
  </si>
  <si>
    <t>Jamaica</t>
  </si>
  <si>
    <t>Reggae</t>
  </si>
  <si>
    <t>Bon Iver</t>
  </si>
  <si>
    <t>Folk</t>
  </si>
  <si>
    <t>Bon Jovi</t>
  </si>
  <si>
    <t>Bonez MC</t>
  </si>
  <si>
    <t>Brent Faiyaz</t>
  </si>
  <si>
    <t>Bring Me The Horizon</t>
  </si>
  <si>
    <t>Britney Spears</t>
  </si>
  <si>
    <t>Bruce Springsteen</t>
  </si>
  <si>
    <t>Bruno Mars</t>
  </si>
  <si>
    <t>Bryan Adams</t>
  </si>
  <si>
    <t>Bryant Myers</t>
  </si>
  <si>
    <t>Bryson Tiller</t>
  </si>
  <si>
    <t>Brytiago</t>
  </si>
  <si>
    <t>BTS</t>
  </si>
  <si>
    <t>Burna Boy</t>
  </si>
  <si>
    <t>Nigeria</t>
  </si>
  <si>
    <t>Afrobeats</t>
  </si>
  <si>
    <t>CÃ©line Dion</t>
  </si>
  <si>
    <t>French</t>
  </si>
  <si>
    <t>Calibre 50</t>
  </si>
  <si>
    <t>Calum Scott</t>
  </si>
  <si>
    <t>Calvin Harris</t>
  </si>
  <si>
    <t>Scotland</t>
  </si>
  <si>
    <t>Camila Cabello</t>
  </si>
  <si>
    <t>Cuba</t>
  </si>
  <si>
    <t>Camilo</t>
  </si>
  <si>
    <t>CarÃ­n LeÃ³n</t>
  </si>
  <si>
    <t>Cardi B</t>
  </si>
  <si>
    <t>Cartel De Santa</t>
  </si>
  <si>
    <t>Central Cee</t>
  </si>
  <si>
    <t>Chance the Rapper</t>
  </si>
  <si>
    <t>Chappell Roan</t>
  </si>
  <si>
    <t>Charli xcx</t>
  </si>
  <si>
    <t>Charlie Puth</t>
  </si>
  <si>
    <t>Chase Atlantic</t>
  </si>
  <si>
    <t>Chencho Corleone</t>
  </si>
  <si>
    <t>Childish Gambino</t>
  </si>
  <si>
    <t>Chris Brown</t>
  </si>
  <si>
    <t>Chris Stapleton</t>
  </si>
  <si>
    <t>Country</t>
  </si>
  <si>
    <t>Christian Nodal</t>
  </si>
  <si>
    <t>Christina Aguilera</t>
  </si>
  <si>
    <t>Cigarettes After Sex</t>
  </si>
  <si>
    <t>Clairo</t>
  </si>
  <si>
    <t>Clean Bandit</t>
  </si>
  <si>
    <t>Coldplay</t>
  </si>
  <si>
    <t>Conan Gray</t>
  </si>
  <si>
    <t>Creedence Clearwater Revival</t>
  </si>
  <si>
    <t>Cris MJ</t>
  </si>
  <si>
    <t>Chile</t>
  </si>
  <si>
    <t>DaBaby</t>
  </si>
  <si>
    <t>Daddy Yankee</t>
  </si>
  <si>
    <t>Daft Punk</t>
  </si>
  <si>
    <t>France</t>
  </si>
  <si>
    <t>Dalex</t>
  </si>
  <si>
    <t>Daniel Caesar</t>
  </si>
  <si>
    <t>Danny Ocean</t>
  </si>
  <si>
    <t>Venezuela</t>
  </si>
  <si>
    <t>Darell</t>
  </si>
  <si>
    <t>Dave</t>
  </si>
  <si>
    <t>David Bowie</t>
  </si>
  <si>
    <t>David Guetta</t>
  </si>
  <si>
    <t>De La Ghetto</t>
  </si>
  <si>
    <t>Deftones</t>
  </si>
  <si>
    <t>Demi Lovato</t>
  </si>
  <si>
    <t>Die drei ???</t>
  </si>
  <si>
    <t>Spoken Word</t>
  </si>
  <si>
    <t>Diplo</t>
  </si>
  <si>
    <t>Dire Straits</t>
  </si>
  <si>
    <t>Disclosure</t>
  </si>
  <si>
    <t>Disney</t>
  </si>
  <si>
    <t>Soundtrack</t>
  </si>
  <si>
    <t>Disturbed</t>
  </si>
  <si>
    <t>DJ Khaled</t>
  </si>
  <si>
    <t>DJ Luian</t>
  </si>
  <si>
    <t>DJ Snake</t>
  </si>
  <si>
    <t>Doja Cat</t>
  </si>
  <si>
    <t>Dominic Fike</t>
  </si>
  <si>
    <t>Don Omar</t>
  </si>
  <si>
    <t>Don Toliver</t>
  </si>
  <si>
    <t>Dr. Dre</t>
  </si>
  <si>
    <t>Drake</t>
  </si>
  <si>
    <t>Dua Lipa</t>
  </si>
  <si>
    <t>Duki</t>
  </si>
  <si>
    <t>Eagles</t>
  </si>
  <si>
    <t>Ed Sheeran</t>
  </si>
  <si>
    <t>El Alfa</t>
  </si>
  <si>
    <t>Dominican Republic</t>
  </si>
  <si>
    <t>Eladio Carrion</t>
  </si>
  <si>
    <t>Ellie Goulding</t>
  </si>
  <si>
    <t>Elton John</t>
  </si>
  <si>
    <t>Elvis Presley</t>
  </si>
  <si>
    <t>Eminem</t>
  </si>
  <si>
    <t>ENHYPEN</t>
  </si>
  <si>
    <t>Enrique Iglesias</t>
  </si>
  <si>
    <t>Eslabon Armado</t>
  </si>
  <si>
    <t>Fall Out Boy</t>
  </si>
  <si>
    <t>Farruko</t>
  </si>
  <si>
    <t>Feid</t>
  </si>
  <si>
    <t>felix jaehn</t>
  </si>
  <si>
    <t>Fetty Wap</t>
  </si>
  <si>
    <t>Five Finger Death Punch</t>
  </si>
  <si>
    <t>Fleetwood Mac</t>
  </si>
  <si>
    <t>Flo Rida</t>
  </si>
  <si>
    <t>Florence + The Machine</t>
  </si>
  <si>
    <t>Florida Georgia Line</t>
  </si>
  <si>
    <t>Foo Fighters</t>
  </si>
  <si>
    <t>Frank Ocean</t>
  </si>
  <si>
    <t>Frank Sinatra</t>
  </si>
  <si>
    <t>French Montana</t>
  </si>
  <si>
    <t>Morocco</t>
  </si>
  <si>
    <t>Fuerza Regida</t>
  </si>
  <si>
    <t>Future</t>
  </si>
  <si>
    <t>Gabito Ballesteros</t>
  </si>
  <si>
    <t>G-Eazy</t>
  </si>
  <si>
    <t>GIMS</t>
  </si>
  <si>
    <t>DR Congo</t>
  </si>
  <si>
    <t>GIVÄ’ON</t>
  </si>
  <si>
    <t>Glass Animals</t>
  </si>
  <si>
    <t>Gorillaz</t>
  </si>
  <si>
    <t>Gracie Abrams</t>
  </si>
  <si>
    <t>Green Day</t>
  </si>
  <si>
    <t>Grupo Firme</t>
  </si>
  <si>
    <t>Grupo Frontera</t>
  </si>
  <si>
    <t>Grupo Marca Registrada</t>
  </si>
  <si>
    <t>Grupo Menos Ã‰ Mais</t>
  </si>
  <si>
    <t>Gucci Mane</t>
  </si>
  <si>
    <t>Gunna</t>
  </si>
  <si>
    <t>Guns N' Roses</t>
  </si>
  <si>
    <t>Gusttavo Lima</t>
  </si>
  <si>
    <t>H.E.R.</t>
  </si>
  <si>
    <t>Halsey</t>
  </si>
  <si>
    <t>Hans Zimmer</t>
  </si>
  <si>
    <t>Harry Styles</t>
  </si>
  <si>
    <t>Henrique &amp; Juliano</t>
  </si>
  <si>
    <t>Hozier</t>
  </si>
  <si>
    <t>Ireland</t>
  </si>
  <si>
    <t>Imagine Dragons</t>
  </si>
  <si>
    <t>Irshad Kamil</t>
  </si>
  <si>
    <t>J Balvin</t>
  </si>
  <si>
    <t>J. Cole</t>
  </si>
  <si>
    <t>JAÅ¸-Z</t>
  </si>
  <si>
    <t>Jack Harlow</t>
  </si>
  <si>
    <t>Jack Johnson</t>
  </si>
  <si>
    <t>James Arthur</t>
  </si>
  <si>
    <t>Jason Aldean</t>
  </si>
  <si>
    <t>Jason Derulo</t>
  </si>
  <si>
    <t>Jason Mraz</t>
  </si>
  <si>
    <t>Jay Wheeler</t>
  </si>
  <si>
    <t>JENNIE</t>
  </si>
  <si>
    <t>Jennifer Lopez</t>
  </si>
  <si>
    <t>Jeremih</t>
  </si>
  <si>
    <t>Jess Glynne</t>
  </si>
  <si>
    <t>JHAYCO</t>
  </si>
  <si>
    <t>JhenÃ© Aiko</t>
  </si>
  <si>
    <t>JID</t>
  </si>
  <si>
    <t>Jimin</t>
  </si>
  <si>
    <t>Joan Sebastian</t>
  </si>
  <si>
    <t>John Legend</t>
  </si>
  <si>
    <t>John Mayer</t>
  </si>
  <si>
    <t>Johnny Cash</t>
  </si>
  <si>
    <t>Joji</t>
  </si>
  <si>
    <t>Japan</t>
  </si>
  <si>
    <t>Jonas Blue</t>
  </si>
  <si>
    <t>Jonas Brothers</t>
  </si>
  <si>
    <t>Jorge &amp; Mateus</t>
  </si>
  <si>
    <t>Juan Gabriel</t>
  </si>
  <si>
    <t>Juanes</t>
  </si>
  <si>
    <t>Juice WRLD</t>
  </si>
  <si>
    <t>Juicy J</t>
  </si>
  <si>
    <t>Jul</t>
  </si>
  <si>
    <t>Julia Michaels</t>
  </si>
  <si>
    <t>JuliÃ³n Ãlvarez y su NorteÃ±o Banda</t>
  </si>
  <si>
    <t>Jung Kook</t>
  </si>
  <si>
    <t>Junior H</t>
  </si>
  <si>
    <t>Justin Bieber</t>
  </si>
  <si>
    <t>Justin Quiles</t>
  </si>
  <si>
    <t>Justin Timberlake</t>
  </si>
  <si>
    <t>Kali Uchis</t>
  </si>
  <si>
    <t>Kane Brown</t>
  </si>
  <si>
    <t>Kanye West</t>
  </si>
  <si>
    <t>Karan Aujla</t>
  </si>
  <si>
    <t>Punjabi</t>
  </si>
  <si>
    <t>KAROL G</t>
  </si>
  <si>
    <t>Katy Perry</t>
  </si>
  <si>
    <t>Kehlani</t>
  </si>
  <si>
    <t>Kelly Clarkson</t>
  </si>
  <si>
    <t>Kendrick Lamar</t>
  </si>
  <si>
    <t>Kesha</t>
  </si>
  <si>
    <t>Kevin Gates</t>
  </si>
  <si>
    <t>Khalid</t>
  </si>
  <si>
    <t>KHEA</t>
  </si>
  <si>
    <t>Kid Cudi</t>
  </si>
  <si>
    <t>Kings of Leon</t>
  </si>
  <si>
    <t>Kodak Black</t>
  </si>
  <si>
    <t>Korn</t>
  </si>
  <si>
    <t>Kumaar</t>
  </si>
  <si>
    <t>Kygo</t>
  </si>
  <si>
    <t>La Arrolladora Banda El LimÃ³n De Rene Camacho</t>
  </si>
  <si>
    <t>Labrinth</t>
  </si>
  <si>
    <t>Lady Gaga</t>
  </si>
  <si>
    <t>Lana Del Rey</t>
  </si>
  <si>
    <t>LANY</t>
  </si>
  <si>
    <t>Laufey</t>
  </si>
  <si>
    <t>Iceland</t>
  </si>
  <si>
    <t>LAUV</t>
  </si>
  <si>
    <t>League of Legends</t>
  </si>
  <si>
    <t>Led Zeppelin</t>
  </si>
  <si>
    <t>Lenny TavÃ¡rez</t>
  </si>
  <si>
    <t>Lewis Capaldi</t>
  </si>
  <si>
    <t>Lil Baby</t>
  </si>
  <si>
    <t>Lil Durk</t>
  </si>
  <si>
    <t>Lil Nas X</t>
  </si>
  <si>
    <t>Lil Peep</t>
  </si>
  <si>
    <t>Lil Tecca</t>
  </si>
  <si>
    <t>Lil Tjay</t>
  </si>
  <si>
    <t>Lil Uzi Vert</t>
  </si>
  <si>
    <t>Lil Wayne</t>
  </si>
  <si>
    <t>Lil Yachty</t>
  </si>
  <si>
    <t>Limp Bizkit</t>
  </si>
  <si>
    <t>Nu Metal</t>
  </si>
  <si>
    <t>Linkin Park</t>
  </si>
  <si>
    <t>Little Mix</t>
  </si>
  <si>
    <t>Logic</t>
  </si>
  <si>
    <t>Lorde</t>
  </si>
  <si>
    <t>New Zealand</t>
  </si>
  <si>
    <t>Los Ãngeles Azules</t>
  </si>
  <si>
    <t>Los Temerarios</t>
  </si>
  <si>
    <t>Lost Frequencies</t>
  </si>
  <si>
    <t>Belgium</t>
  </si>
  <si>
    <t>Luan Santana</t>
  </si>
  <si>
    <t>Ludacris</t>
  </si>
  <si>
    <t>Luis Fonsi</t>
  </si>
  <si>
    <t>Luis Miguel</t>
  </si>
  <si>
    <t>Luis R Conriquez</t>
  </si>
  <si>
    <t>Luke Bryan</t>
  </si>
  <si>
    <t>Luke Combs</t>
  </si>
  <si>
    <t>MÃ˜</t>
  </si>
  <si>
    <t>Denmark</t>
  </si>
  <si>
    <t>MÃ¥neskin</t>
  </si>
  <si>
    <t>Italy</t>
  </si>
  <si>
    <t>Italian</t>
  </si>
  <si>
    <t>Mac DeMarco</t>
  </si>
  <si>
    <t>Mac Miller</t>
  </si>
  <si>
    <t>Macklemore</t>
  </si>
  <si>
    <t>Macklemore &amp; Ryan Lewis</t>
  </si>
  <si>
    <t>Madonna</t>
  </si>
  <si>
    <t>Magenta</t>
  </si>
  <si>
    <t>Maiara &amp; Maraisa</t>
  </si>
  <si>
    <t>Major Lazer</t>
  </si>
  <si>
    <t>Maluma</t>
  </si>
  <si>
    <t>Mambo Kingz</t>
  </si>
  <si>
    <t>ManÃ¡</t>
  </si>
  <si>
    <t>Manuel Turizo</t>
  </si>
  <si>
    <t>MarÃ­lia MendonÃ§a</t>
  </si>
  <si>
    <t>Marc Anthony</t>
  </si>
  <si>
    <t>Maria Becerra</t>
  </si>
  <si>
    <t>Mariah Carey</t>
  </si>
  <si>
    <t>Mark Ronson</t>
  </si>
  <si>
    <t>Maroon 5</t>
  </si>
  <si>
    <t>Marshmello</t>
  </si>
  <si>
    <t>Martin Garrix</t>
  </si>
  <si>
    <t>Netherlands</t>
  </si>
  <si>
    <t>Matheus &amp; Kauan</t>
  </si>
  <si>
    <t>Mc IG</t>
  </si>
  <si>
    <t>MC Ryan SP</t>
  </si>
  <si>
    <t>Meek Mill</t>
  </si>
  <si>
    <t>Megan Thee Stallion</t>
  </si>
  <si>
    <t>Meghan Trainor</t>
  </si>
  <si>
    <t>Melanie Martinez</t>
  </si>
  <si>
    <t>Metallica</t>
  </si>
  <si>
    <t>Metro Boomin</t>
  </si>
  <si>
    <t>mgk</t>
  </si>
  <si>
    <t>Michael BublÃ©</t>
  </si>
  <si>
    <t>Michael Jackson</t>
  </si>
  <si>
    <t>Migos</t>
  </si>
  <si>
    <t>Miguel</t>
  </si>
  <si>
    <t>Miley Cyrus</t>
  </si>
  <si>
    <t>Milo j</t>
  </si>
  <si>
    <t>Mitski</t>
  </si>
  <si>
    <t>Moneybagg Yo</t>
  </si>
  <si>
    <t>Mora</t>
  </si>
  <si>
    <t>Morad</t>
  </si>
  <si>
    <t>Morat</t>
  </si>
  <si>
    <t>Morgan Wallen</t>
  </si>
  <si>
    <t>Mumford &amp; Sons</t>
  </si>
  <si>
    <t>Muse</t>
  </si>
  <si>
    <t>My Chemical Romance</t>
  </si>
  <si>
    <t>Myke Towers</t>
  </si>
  <si>
    <t>Natanael Cano</t>
  </si>
  <si>
    <t>Nate Dogg</t>
  </si>
  <si>
    <t>NATTI NATASHA</t>
  </si>
  <si>
    <t>NAV</t>
  </si>
  <si>
    <t>Nelly</t>
  </si>
  <si>
    <t>Nelly Furtado</t>
  </si>
  <si>
    <t>Neton Vega</t>
  </si>
  <si>
    <t>NewJeans</t>
  </si>
  <si>
    <t>Ne-Yo</t>
  </si>
  <si>
    <t>NF</t>
  </si>
  <si>
    <t>Niall Horan</t>
  </si>
  <si>
    <t>Nickelback</t>
  </si>
  <si>
    <t>Nicki Minaj</t>
  </si>
  <si>
    <t>Trinidad and Tobago</t>
  </si>
  <si>
    <t>Nicki Nicole</t>
  </si>
  <si>
    <t>Nicky Jam</t>
  </si>
  <si>
    <t>Ninho</t>
  </si>
  <si>
    <t>Nirvana</t>
  </si>
  <si>
    <t>NLE Choppa</t>
  </si>
  <si>
    <t>Noah Kahan</t>
  </si>
  <si>
    <t>Noriel</t>
  </si>
  <si>
    <t>Oasis</t>
  </si>
  <si>
    <t>Offset</t>
  </si>
  <si>
    <t>Olivia Dean</t>
  </si>
  <si>
    <t>Olivia Rodrigo</t>
  </si>
  <si>
    <t>Omar Courtz</t>
  </si>
  <si>
    <t>One Direction</t>
  </si>
  <si>
    <t>OneRepublic</t>
  </si>
  <si>
    <t>Oscar Maydon</t>
  </si>
  <si>
    <t>Ovy On The Drums</t>
  </si>
  <si>
    <t>Ozuna</t>
  </si>
  <si>
    <t>P!nk</t>
  </si>
  <si>
    <t>Panic! At The Disco</t>
  </si>
  <si>
    <t>Paramore</t>
  </si>
  <si>
    <t>PARTYNEXTDOOR</t>
  </si>
  <si>
    <t>Paulo Londra</t>
  </si>
  <si>
    <t>Pearl Jam</t>
  </si>
  <si>
    <t>Peso Pluma</t>
  </si>
  <si>
    <t>Pharrell Williams</t>
  </si>
  <si>
    <t>Phil Collins</t>
  </si>
  <si>
    <t>Pink Floyd</t>
  </si>
  <si>
    <t>Piso 21</t>
  </si>
  <si>
    <t>Pitbull</t>
  </si>
  <si>
    <t>Plan B</t>
  </si>
  <si>
    <t>Playboi Carti</t>
  </si>
  <si>
    <t>Polo G</t>
  </si>
  <si>
    <t>Pop Smoke</t>
  </si>
  <si>
    <t>Post Malone</t>
  </si>
  <si>
    <t>Prince Royce</t>
  </si>
  <si>
    <t>Pritam</t>
  </si>
  <si>
    <t>Quavo</t>
  </si>
  <si>
    <t>Queen</t>
  </si>
  <si>
    <t>Quevedo</t>
  </si>
  <si>
    <t>Radiohead</t>
  </si>
  <si>
    <t>Rae Sremmurd</t>
  </si>
  <si>
    <t>RAF Camora</t>
  </si>
  <si>
    <t>Austria</t>
  </si>
  <si>
    <t>Rammstein</t>
  </si>
  <si>
    <t>Rauw Alejandro</t>
  </si>
  <si>
    <t>RAYE</t>
  </si>
  <si>
    <t>Red Hot Chili Peppers</t>
  </si>
  <si>
    <t>Reik</t>
  </si>
  <si>
    <t>Rels B</t>
  </si>
  <si>
    <t>Rex Orange County</t>
  </si>
  <si>
    <t>Ricardo Arjona</t>
  </si>
  <si>
    <t>Guatemala</t>
  </si>
  <si>
    <t>Rick Ross</t>
  </si>
  <si>
    <t>Rihanna</t>
  </si>
  <si>
    <t>Barbados</t>
  </si>
  <si>
    <t>Rita Ora</t>
  </si>
  <si>
    <t>Robin Schulz</t>
  </si>
  <si>
    <t>Rod Wave</t>
  </si>
  <si>
    <t>Roddy Ricch</t>
  </si>
  <si>
    <t>Romeo Santos</t>
  </si>
  <si>
    <t>ROSALÃA</t>
  </si>
  <si>
    <t>Russ</t>
  </si>
  <si>
    <t>Ryan Castro</t>
  </si>
  <si>
    <t>Ryan Lewis</t>
  </si>
  <si>
    <t>Sabrina Carpenter</t>
  </si>
  <si>
    <t>Sachin-Jigar</t>
  </si>
  <si>
    <t>Sam Smith</t>
  </si>
  <si>
    <t>ScHoolboy Q</t>
  </si>
  <si>
    <t>Sean Paul</t>
  </si>
  <si>
    <t>Sebastian Yatra</t>
  </si>
  <si>
    <t>Sech</t>
  </si>
  <si>
    <t>Panama</t>
  </si>
  <si>
    <t>Selena Gomez</t>
  </si>
  <si>
    <t>SEVENTEEN</t>
  </si>
  <si>
    <t>Sfera Ebbasta</t>
  </si>
  <si>
    <t>Shakira</t>
  </si>
  <si>
    <t>Shawn Mendes</t>
  </si>
  <si>
    <t>Shreya Ghoshal</t>
  </si>
  <si>
    <t>Sia</t>
  </si>
  <si>
    <t>Skrillex</t>
  </si>
  <si>
    <t>Slipknot</t>
  </si>
  <si>
    <t>Snoop Dogg</t>
  </si>
  <si>
    <t>Steve Lacy</t>
  </si>
  <si>
    <t>Stevie Wonder</t>
  </si>
  <si>
    <t>Stray Kids</t>
  </si>
  <si>
    <t>Summer Walker</t>
  </si>
  <si>
    <t>Swae Lee</t>
  </si>
  <si>
    <t>System Of A Down</t>
  </si>
  <si>
    <t>SZA</t>
  </si>
  <si>
    <t>T.I.</t>
  </si>
  <si>
    <t>Tainy</t>
  </si>
  <si>
    <t>Tame Impala</t>
  </si>
  <si>
    <t>Tanishk Bagchi</t>
  </si>
  <si>
    <t>Tate McRae</t>
  </si>
  <si>
    <t>Taylor Swift</t>
  </si>
  <si>
    <t>Teddy Swims</t>
  </si>
  <si>
    <t>The 1975</t>
  </si>
  <si>
    <t>The Beatles</t>
  </si>
  <si>
    <t>The Chainsmokers</t>
  </si>
  <si>
    <t>The Cure</t>
  </si>
  <si>
    <t>The Kid LAROI</t>
  </si>
  <si>
    <t>The Killers</t>
  </si>
  <si>
    <t>The Lumineers</t>
  </si>
  <si>
    <t>The MarÃ­as</t>
  </si>
  <si>
    <t>The Neighbourhood</t>
  </si>
  <si>
    <t>The Notorious B.I.G.</t>
  </si>
  <si>
    <t>The Offspring</t>
  </si>
  <si>
    <t>The Police</t>
  </si>
  <si>
    <t>The Rolling Stones</t>
  </si>
  <si>
    <t>The Script</t>
  </si>
  <si>
    <t>The Smiths</t>
  </si>
  <si>
    <t>The Strokes</t>
  </si>
  <si>
    <t>The Weeknd</t>
  </si>
  <si>
    <t>Thomas Rhett</t>
  </si>
  <si>
    <t>Three Days Grace</t>
  </si>
  <si>
    <t>TiÃ«sto</t>
  </si>
  <si>
    <t>Tiago PZK</t>
  </si>
  <si>
    <t>Timbaland</t>
  </si>
  <si>
    <t>TINI</t>
  </si>
  <si>
    <t>Tito Double P</t>
  </si>
  <si>
    <t>Tom Odell</t>
  </si>
  <si>
    <t>TOMORROW X TOGETHER</t>
  </si>
  <si>
    <t>Tory Lanez</t>
  </si>
  <si>
    <t>Tove Lo</t>
  </si>
  <si>
    <t>T-Pain</t>
  </si>
  <si>
    <t>Travis Scott</t>
  </si>
  <si>
    <t>Trippie Redd</t>
  </si>
  <si>
    <t>Troye Sivan</t>
  </si>
  <si>
    <t>South Africa</t>
  </si>
  <si>
    <t>TV Girl</t>
  </si>
  <si>
    <t>Twenty One Pilots</t>
  </si>
  <si>
    <t>TWICE</t>
  </si>
  <si>
    <t>Ty Dolla $ign</t>
  </si>
  <si>
    <t>Tyga</t>
  </si>
  <si>
    <t>Tyler The Creator</t>
  </si>
  <si>
    <t>U2</t>
  </si>
  <si>
    <t>Udit Narayan</t>
  </si>
  <si>
    <t>Nepal</t>
  </si>
  <si>
    <t>USHER</t>
  </si>
  <si>
    <t>Vance Joy</t>
  </si>
  <si>
    <t>Vicente FernÃ¡ndez</t>
  </si>
  <si>
    <t>Vishal-Shekhar</t>
  </si>
  <si>
    <t>Wesley SafadÃ£o</t>
  </si>
  <si>
    <t>Whitney Houston</t>
  </si>
  <si>
    <t>Wisin</t>
  </si>
  <si>
    <t>Wisin &amp; Yandel</t>
  </si>
  <si>
    <t>Wiz Khalifa</t>
  </si>
  <si>
    <t>Wizkid</t>
  </si>
  <si>
    <t>XXXTENTACION</t>
  </si>
  <si>
    <t>Yandel</t>
  </si>
  <si>
    <t>Yeat</t>
  </si>
  <si>
    <t>YG</t>
  </si>
  <si>
    <t>YNW Melly</t>
  </si>
  <si>
    <t>Young Thug</t>
  </si>
  <si>
    <t>YoungBoy Never Broke Again</t>
  </si>
  <si>
    <t>ZÃ© Neto &amp; Cristiano</t>
  </si>
  <si>
    <t>Zach Bryan</t>
  </si>
  <si>
    <t>Zara Larsson</t>
  </si>
  <si>
    <t>ZAYN</t>
  </si>
  <si>
    <t>Zedd</t>
  </si>
  <si>
    <t>Russia</t>
  </si>
  <si>
    <t>Zion</t>
  </si>
  <si>
    <t>Zion &amp; Lennox</t>
  </si>
  <si>
    <t>Difference number</t>
  </si>
  <si>
    <t>Warnings</t>
  </si>
  <si>
    <t>Name</t>
  </si>
  <si>
    <t>ID</t>
  </si>
  <si>
    <t>Artists Search Bar</t>
  </si>
  <si>
    <t>Id</t>
  </si>
  <si>
    <t>Rótulos de Linha</t>
  </si>
  <si>
    <t>Total Geral</t>
  </si>
  <si>
    <t>Contagem de Sex</t>
  </si>
  <si>
    <t>Inconsistency</t>
  </si>
  <si>
    <t>OK</t>
  </si>
  <si>
    <t>Contagem de Warnings</t>
  </si>
  <si>
    <t>Contagem de Country of Origin</t>
  </si>
  <si>
    <t>Contagem de  Artist Type</t>
  </si>
  <si>
    <t>Contagem de Debut Year</t>
  </si>
  <si>
    <t>Contagem de Primary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</si>
</sst>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;[Red]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i/>
      <sz val="14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1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0" fontId="0" fillId="0" borderId="0" xfId="0" applyNumberFormat="1"/>
    <xf numFmtId="164" fontId="0" fillId="0" borderId="0" xfId="0" applyNumberFormat="1"/>
    <xf numFmtId="164" fontId="17" fillId="0" borderId="0" xfId="0" applyNumberFormat="1" applyFont="1"/>
    <xf numFmtId="0" fontId="20" fillId="33" borderId="14" xfId="0" applyFont="1" applyFill="1" applyBorder="1"/>
    <xf numFmtId="0" fontId="20" fillId="34" borderId="18" xfId="0" applyFont="1" applyFill="1" applyBorder="1"/>
    <xf numFmtId="0" fontId="20" fillId="34" borderId="14" xfId="0" applyFont="1" applyFill="1" applyBorder="1"/>
    <xf numFmtId="0" fontId="20" fillId="34" borderId="21" xfId="0" applyFont="1" applyFill="1" applyBorder="1"/>
    <xf numFmtId="0" fontId="0" fillId="0" borderId="0" xfId="0" applyAlignment="1">
      <alignment horizontal="left"/>
    </xf>
    <xf numFmtId="0" fontId="0" fillId="0" borderId="15" xfId="0" applyBorder="1" applyAlignment="1">
      <alignment horizontal="left"/>
    </xf>
    <xf numFmtId="0" fontId="17" fillId="36" borderId="0" xfId="0" applyFont="1" applyFill="1" applyAlignment="1">
      <alignment horizontal="left"/>
    </xf>
    <xf numFmtId="10" fontId="0" fillId="37" borderId="20" xfId="0" applyNumberFormat="1" applyFill="1" applyBorder="1" applyAlignment="1">
      <alignment horizontal="right"/>
    </xf>
    <xf numFmtId="10" fontId="0" fillId="37" borderId="15" xfId="0" applyNumberFormat="1" applyFill="1" applyBorder="1" applyAlignment="1">
      <alignment horizontal="right"/>
    </xf>
    <xf numFmtId="10" fontId="0" fillId="37" borderId="17" xfId="0" applyNumberFormat="1" applyFill="1" applyBorder="1" applyAlignment="1">
      <alignment horizontal="right"/>
    </xf>
    <xf numFmtId="0" fontId="0" fillId="37" borderId="0" xfId="0" applyFill="1"/>
    <xf numFmtId="0" fontId="20" fillId="33" borderId="18" xfId="0" applyFont="1" applyFill="1" applyBorder="1"/>
    <xf numFmtId="0" fontId="0" fillId="0" borderId="19" xfId="0" applyBorder="1" applyAlignment="1">
      <alignment horizontal="left"/>
    </xf>
    <xf numFmtId="10" fontId="0" fillId="37" borderId="20" xfId="1" applyNumberFormat="1" applyFont="1" applyFill="1" applyBorder="1" applyAlignment="1"/>
    <xf numFmtId="0" fontId="0" fillId="0" borderId="20" xfId="0" applyBorder="1" applyAlignment="1">
      <alignment horizontal="left"/>
    </xf>
    <xf numFmtId="0" fontId="0" fillId="37" borderId="19" xfId="0" applyFill="1" applyBorder="1"/>
    <xf numFmtId="1" fontId="0" fillId="0" borderId="0" xfId="0" applyNumberFormat="1" applyAlignment="1">
      <alignment horizontal="center"/>
    </xf>
    <xf numFmtId="0" fontId="20" fillId="36" borderId="10" xfId="0" applyFont="1" applyFill="1" applyBorder="1" applyAlignment="1">
      <alignment horizontal="left"/>
    </xf>
    <xf numFmtId="0" fontId="0" fillId="0" borderId="0" xfId="0" pivotButton="1"/>
    <xf numFmtId="0" fontId="0" fillId="37" borderId="19" xfId="0" applyFill="1" applyBorder="1" applyAlignment="1">
      <alignment horizontal="left"/>
    </xf>
    <xf numFmtId="0" fontId="0" fillId="37" borderId="0" xfId="0" applyFill="1" applyAlignment="1">
      <alignment horizontal="left"/>
    </xf>
    <xf numFmtId="0" fontId="0" fillId="37" borderId="16" xfId="0" applyFill="1" applyBorder="1" applyAlignment="1">
      <alignment horizontal="left"/>
    </xf>
    <xf numFmtId="0" fontId="19" fillId="35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0" fillId="37" borderId="20" xfId="0" applyFill="1" applyBorder="1" applyAlignment="1">
      <alignment horizontal="left"/>
    </xf>
    <xf numFmtId="0" fontId="0" fillId="37" borderId="15" xfId="0" applyFill="1" applyBorder="1" applyAlignment="1">
      <alignment horizontal="left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8">
    <dxf>
      <numFmt numFmtId="164" formatCode="0.00;[Red]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  <alignment horizontal="center" vertical="bottom" textRotation="0" wrapText="0" indent="0" justifyLastLine="0" shrinkToFit="0" readingOrder="0"/>
    </dxf>
    <dxf>
      <fill>
        <gradientFill degree="90">
          <stop position="0">
            <color theme="0"/>
          </stop>
          <stop position="1">
            <color theme="0" tint="-5.0965910824915313E-2"/>
          </stop>
        </gradient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</dxfs>
  <tableStyles count="1" defaultTableStyle="TableStyleMedium2" defaultPivotStyle="PivotStyleLight16">
    <tableStyle name="Estilo de Segmentação de Dados 1" pivot="0" table="0" count="1" xr9:uid="{E2D46B43-B1B3-43AC-AB9D-528340BA9CA7}">
      <tableStyleElement type="wholeTable" dxfId="7"/>
    </tableStyle>
  </tableStyle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Relation Lead Streams x Feature Streams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5F-4ACD-9EA2-8453EBC4839F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5F-4ACD-9EA2-8453EBC483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'Search Bar'!$D$9:$D$10</c:f>
              <c:numCache>
                <c:formatCode>0.00%</c:formatCode>
                <c:ptCount val="2"/>
                <c:pt idx="0">
                  <c:v>0.29260000000000003</c:v>
                </c:pt>
                <c:pt idx="1">
                  <c:v>0.70740000000000003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6-4D61-8DB7-02E2596E0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bg1">
            <a:lumMod val="85000"/>
            <a:shade val="30000"/>
            <a:satMod val="115000"/>
          </a:schemeClr>
        </a:gs>
        <a:gs pos="50000">
          <a:schemeClr val="bg1">
            <a:lumMod val="85000"/>
            <a:shade val="67500"/>
            <a:satMod val="115000"/>
          </a:schemeClr>
        </a:gs>
        <a:gs pos="100000">
          <a:schemeClr val="bg1">
            <a:lumMod val="85000"/>
            <a:shade val="100000"/>
            <a:satMod val="115000"/>
          </a:schemeClr>
        </a:gs>
      </a:gsLst>
      <a:lin ang="162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Relation Solo Streams x Collaborative Streams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B5-4468-977F-E5C10628D33B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B5-4468-977F-E5C10628D3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'Search Bar'!$D$11:$D$12</c:f>
              <c:numCache>
                <c:formatCode>0.00%</c:formatCode>
                <c:ptCount val="2"/>
                <c:pt idx="0">
                  <c:v>6.4100000000000004E-2</c:v>
                </c:pt>
                <c:pt idx="1">
                  <c:v>0.93589999999999995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E-4B15-918C-206C9B363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bg1">
            <a:lumMod val="85000"/>
            <a:shade val="30000"/>
            <a:satMod val="115000"/>
          </a:schemeClr>
        </a:gs>
        <a:gs pos="50000">
          <a:schemeClr val="bg1">
            <a:lumMod val="85000"/>
            <a:shade val="67500"/>
            <a:satMod val="115000"/>
          </a:schemeClr>
        </a:gs>
        <a:gs pos="100000">
          <a:schemeClr val="bg1">
            <a:lumMod val="85000"/>
            <a:shade val="100000"/>
            <a:satMod val="115000"/>
          </a:schemeClr>
        </a:gs>
      </a:gsLst>
      <a:lin ang="162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Relation Lead Streams x Feature Streams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62-4D55-AAC0-F4465E0C5BB9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62-4D55-AAC0-F4465E0C5B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'Search Bar (recommended)'!$D$9:$D$10</c:f>
              <c:numCache>
                <c:formatCode>0.00%</c:formatCode>
                <c:ptCount val="2"/>
                <c:pt idx="0">
                  <c:v>0.90620000000000001</c:v>
                </c:pt>
                <c:pt idx="1">
                  <c:v>9.4799999999999995E-2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62-4D55-AAC0-F4465E0C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bg1">
            <a:lumMod val="85000"/>
            <a:shade val="30000"/>
            <a:satMod val="115000"/>
          </a:schemeClr>
        </a:gs>
        <a:gs pos="50000">
          <a:schemeClr val="bg1">
            <a:lumMod val="85000"/>
            <a:shade val="67500"/>
            <a:satMod val="115000"/>
          </a:schemeClr>
        </a:gs>
        <a:gs pos="100000">
          <a:schemeClr val="bg1">
            <a:lumMod val="85000"/>
            <a:shade val="100000"/>
            <a:satMod val="115000"/>
          </a:schemeClr>
        </a:gs>
      </a:gsLst>
      <a:lin ang="162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Relation Solo Streams x Collaborative Streams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E1-4B93-928A-715142E78F7F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E1-4B93-928A-715142E78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'Search Bar (recommended)'!$D$11:$D$12</c:f>
              <c:numCache>
                <c:formatCode>0.00%</c:formatCode>
                <c:ptCount val="2"/>
                <c:pt idx="0">
                  <c:v>0.89449999999999996</c:v>
                </c:pt>
                <c:pt idx="1">
                  <c:v>0.1055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E1-4B93-928A-715142E78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bg1">
            <a:lumMod val="85000"/>
            <a:shade val="30000"/>
            <a:satMod val="115000"/>
          </a:schemeClr>
        </a:gs>
        <a:gs pos="50000">
          <a:schemeClr val="bg1">
            <a:lumMod val="85000"/>
            <a:shade val="67500"/>
            <a:satMod val="115000"/>
          </a:schemeClr>
        </a:gs>
        <a:gs pos="100000">
          <a:schemeClr val="bg1">
            <a:lumMod val="85000"/>
            <a:shade val="100000"/>
            <a:satMod val="115000"/>
          </a:schemeClr>
        </a:gs>
      </a:gsLst>
      <a:lin ang="162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[Spotify Streaming Performance Dataset.xlsx]supplementary tables!Tabela dinâmica5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>
                <a:effectLst/>
              </a:rPr>
              <a:t>10 years with more debuts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'supplementary tables'!$H$1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'supplementary tables'!$G$2:$G$12</c:f>
              <c:strCache>
                <c:ptCount val="10"/>
                <c:pt idx="0">
                  <c:v>2006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2017</c:v>
                </c:pt>
              </c:strCache>
            </c:strRef>
          </c:cat>
          <c:val>
            <c:numRef>
              <c:f>'supplementary tables'!$H$2:$H$12</c:f>
              <c:numCache>
                <c:formatCode>General</c:formatCode>
                <c:ptCount val="10"/>
                <c:pt idx="0">
                  <c:v>21</c:v>
                </c:pt>
                <c:pt idx="1">
                  <c:v>20</c:v>
                </c:pt>
                <c:pt idx="2">
                  <c:v>24</c:v>
                </c:pt>
                <c:pt idx="3">
                  <c:v>28</c:v>
                </c:pt>
                <c:pt idx="4">
                  <c:v>22</c:v>
                </c:pt>
                <c:pt idx="5">
                  <c:v>27</c:v>
                </c:pt>
                <c:pt idx="6">
                  <c:v>24</c:v>
                </c:pt>
                <c:pt idx="7">
                  <c:v>32</c:v>
                </c:pt>
                <c:pt idx="8">
                  <c:v>29</c:v>
                </c:pt>
                <c:pt idx="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C-4483-9F7B-BFE1EDE839F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429081744"/>
        <c:axId val="1426508048"/>
      </c:lineChart>
      <c:catAx>
        <c:axId val="142908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508048"/>
        <c:crosses val="autoZero"/>
        <c:auto val="1"/>
        <c:lblAlgn val="ctr"/>
        <c:lblOffset val="100"/>
        <c:noMultiLvlLbl val="0"/>
      </c:catAx>
      <c:valAx>
        <c:axId val="14265080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2908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[Spotify Streaming Performance Dataset.xlsx]supplementary tables!Tabela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Artist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'supplementary tables'!$E$9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8D-4C8F-9BA3-565BC482E9C2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8D-4C8F-9BA3-565BC482E9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'supplementary tables'!$D$10:$D$12</c:f>
              <c:strCache>
                <c:ptCount val="2"/>
                <c:pt idx="0">
                  <c:v>Group</c:v>
                </c:pt>
                <c:pt idx="1">
                  <c:v>Solo</c:v>
                </c:pt>
              </c:strCache>
            </c:strRef>
          </c:cat>
          <c:val>
            <c:numRef>
              <c:f>'supplementary tables'!$E$10:$E$12</c:f>
              <c:numCache>
                <c:formatCode>0.00%</c:formatCode>
                <c:ptCount val="2"/>
                <c:pt idx="0">
                  <c:v>0.254</c:v>
                </c:pt>
                <c:pt idx="1">
                  <c:v>0.746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8D-4C8F-9BA3-565BC482E9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[Spotify Streaming Performance Dataset.xlsx]supplementary tables!Tabela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effectLst/>
              </a:rPr>
              <a:t>5 countries of origin with the most artists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'supplementary tables'!$B$9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'supplementary tables'!$A$10:$A$15</c:f>
              <c:strCache>
                <c:ptCount val="5"/>
                <c:pt idx="0">
                  <c:v>Canada</c:v>
                </c:pt>
                <c:pt idx="1">
                  <c:v>Colombia</c:v>
                </c:pt>
                <c:pt idx="2">
                  <c:v>Mexico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'supplementary tables'!$B$10:$B$15</c:f>
              <c:numCache>
                <c:formatCode>General</c:formatCode>
                <c:ptCount val="5"/>
                <c:pt idx="0">
                  <c:v>18</c:v>
                </c:pt>
                <c:pt idx="1">
                  <c:v>16</c:v>
                </c:pt>
                <c:pt idx="2">
                  <c:v>27</c:v>
                </c:pt>
                <c:pt idx="3">
                  <c:v>55</c:v>
                </c:pt>
                <c:pt idx="4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8-4F1D-BF77-2CBD591084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3611936"/>
        <c:axId val="994937808"/>
      </c:barChart>
      <c:catAx>
        <c:axId val="148361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4937808"/>
        <c:crosses val="autoZero"/>
        <c:auto val="1"/>
        <c:lblAlgn val="ctr"/>
        <c:lblOffset val="100"/>
        <c:noMultiLvlLbl val="0"/>
      </c:catAx>
      <c:valAx>
        <c:axId val="9949378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8361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Streaming Performance Dataset.xlsx]supplementary tables!Tabela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Warnings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'supplementary tables'!$E$1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F9-41E6-8383-3487D5B413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F9-41E6-8383-3487D5B413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'supplementary tables'!$D$2:$D$4</c:f>
              <c:strCache>
                <c:ptCount val="2"/>
                <c:pt idx="0">
                  <c:v>Inconsistency</c:v>
                </c:pt>
                <c:pt idx="1">
                  <c:v>OK</c:v>
                </c:pt>
              </c:strCache>
            </c:strRef>
          </c:cat>
          <c:val>
            <c:numRef>
              <c:f>'supplementary tables'!$E$2:$E$4</c:f>
              <c:numCache>
                <c:formatCode>0.00%</c:formatCode>
                <c:ptCount val="2"/>
                <c:pt idx="0">
                  <c:v>7.8E-2</c:v>
                </c:pt>
                <c:pt idx="1">
                  <c:v>0.92200000000000004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F9-41E6-8383-3487D5B413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80718480"/>
        <c:axId val="1426468688"/>
      </c:barChart>
      <c:valAx>
        <c:axId val="1426468688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480718480"/>
        <c:crosses val="autoZero"/>
        <c:crossBetween val="between"/>
      </c:valAx>
      <c:catAx>
        <c:axId val="1480718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468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[Spotify Streaming Performance Dataset.xlsx]supplementary tables!Tabela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Artists sex's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shade val="6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tint val="65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'supplementary tables'!$B$1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A3-4F80-B153-9677869D9292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A3-4F80-B153-9677869D9292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EA3-4F80-B153-9677869D92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'supplementary tables'!$A$2:$A$5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Mixed</c:v>
                </c:pt>
              </c:strCache>
            </c:strRef>
          </c:cat>
          <c:val>
            <c:numRef>
              <c:f>'supplementary tables'!$B$2:$B$5</c:f>
              <c:numCache>
                <c:formatCode>0.00%</c:formatCode>
                <c:ptCount val="3"/>
                <c:pt idx="0">
                  <c:v>0.17599999999999999</c:v>
                </c:pt>
                <c:pt idx="1">
                  <c:v>0.78</c:v>
                </c:pt>
                <c:pt idx="2">
                  <c:v>4.3999999999999997E-2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E-4F37-861D-90C18C7A3F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[Spotify Streaming Performance Dataset.xlsx]supplementary tables!Tabela dinâmica7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effectLst/>
              </a:rPr>
              <a:t>Musical genres with the most streams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'supplementary tables'!$L$1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21-40CF-AB58-D0DA11C9A24E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21-40CF-AB58-D0DA11C9A24E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21-40CF-AB58-D0DA11C9A24E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21-40CF-AB58-D0DA11C9A24E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21-40CF-AB58-D0DA11C9A2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'supplementary tables'!$K$2:$K$7</c:f>
              <c:strCache>
                <c:ptCount val="5"/>
                <c:pt idx="0">
                  <c:v>Hip-Hop</c:v>
                </c:pt>
                <c:pt idx="1">
                  <c:v>Pop</c:v>
                </c:pt>
                <c:pt idx="2">
                  <c:v>R&amp;B</c:v>
                </c:pt>
                <c:pt idx="3">
                  <c:v>Reggaeton</c:v>
                </c:pt>
                <c:pt idx="4">
                  <c:v>Rock</c:v>
                </c:pt>
              </c:strCache>
            </c:strRef>
          </c:cat>
          <c:val>
            <c:numRef>
              <c:f>'supplementary tables'!$L$2:$L$7</c:f>
              <c:numCache>
                <c:formatCode>0.00%</c:formatCode>
                <c:ptCount val="5"/>
                <c:pt idx="0">
                  <c:v>0.32763532763532766</c:v>
                </c:pt>
                <c:pt idx="1">
                  <c:v>0.29059829059829062</c:v>
                </c:pt>
                <c:pt idx="2">
                  <c:v>8.8319088319088315E-2</c:v>
                </c:pt>
                <c:pt idx="3">
                  <c:v>0.12250712250712251</c:v>
                </c:pt>
                <c:pt idx="4">
                  <c:v>0.17094017094017094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21-40CF-AB58-D0DA11C9A2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0</xdr:rowOff>
    </xdr:from>
    <xdr:to>
      <xdr:col>10</xdr:col>
      <xdr:colOff>586740</xdr:colOff>
      <xdr:row>11</xdr:row>
      <xdr:rowOff>197760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220A4B-4D67-8F31-E0CA-DC0876ED4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525780</xdr:colOff>
      <xdr:row>0</xdr:row>
      <xdr:rowOff>0</xdr:rowOff>
    </xdr:from>
    <xdr:to>
      <xdr:col>17</xdr:col>
      <xdr:colOff>198120</xdr:colOff>
      <xdr:row>11</xdr:row>
      <xdr:rowOff>198120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68FDF2-D426-40D6-0F8E-BEBB6A9D3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0</xdr:rowOff>
    </xdr:from>
    <xdr:to>
      <xdr:col>10</xdr:col>
      <xdr:colOff>601980</xdr:colOff>
      <xdr:row>11</xdr:row>
      <xdr:rowOff>197760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A49A6C-378E-4E75-8765-C4FFC5D45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563880</xdr:colOff>
      <xdr:row>0</xdr:row>
      <xdr:rowOff>0</xdr:rowOff>
    </xdr:from>
    <xdr:to>
      <xdr:col>17</xdr:col>
      <xdr:colOff>236220</xdr:colOff>
      <xdr:row>11</xdr:row>
      <xdr:rowOff>198120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F0FAB0-259A-46F2-9C46-E5E33BFF6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16933</xdr:colOff>
      <xdr:row>38</xdr:row>
      <xdr:rowOff>25400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51898ED-D97B-C35F-7A31-56EBA6BD90FB}"/>
            </a:ext>
          </a:extLst>
        </xdr:cNvPr>
        <xdr:cNvSpPr/>
      </xdr:nvSpPr>
      <xdr:spPr>
        <a:xfrm>
          <a:off x="0" y="0"/>
          <a:ext cx="15866533" cy="7103533"/>
        </a:xfrm>
        <a:prstGeom prst="rect">
          <a:avLst/>
        </a:prstGeom>
        <a:gradFill flip="none" rotWithShape="1">
          <a:gsLst>
            <a:gs pos="54000">
              <a:schemeClr val="tx1">
                <a:lumMod val="50000"/>
                <a:lumOff val="50000"/>
              </a:schemeClr>
            </a:gs>
            <a:gs pos="0">
              <a:schemeClr val="tx1">
                <a:lumMod val="75000"/>
                <a:lumOff val="25000"/>
              </a:schemeClr>
            </a:gs>
            <a:gs pos="100000">
              <a:schemeClr val="tx1">
                <a:lumMod val="65000"/>
                <a:lumOff val="35000"/>
              </a:schemeClr>
            </a:gs>
          </a:gsLst>
          <a:path path="rect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194732</xdr:colOff>
      <xdr:row>2</xdr:row>
      <xdr:rowOff>16934</xdr:rowOff>
    </xdr:from>
    <xdr:to>
      <xdr:col>19</xdr:col>
      <xdr:colOff>42333</xdr:colOff>
      <xdr:row>17</xdr:row>
      <xdr:rowOff>152400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615FF149-FA30-4275-A32F-E5AB4A7B75BD}"/>
            </a:ext>
          </a:extLst>
        </xdr:cNvPr>
        <xdr:cNvSpPr/>
      </xdr:nvSpPr>
      <xdr:spPr>
        <a:xfrm>
          <a:off x="5681132" y="389467"/>
          <a:ext cx="5943601" cy="2929466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</a:schemeClr>
            </a:gs>
            <a:gs pos="100000">
              <a:schemeClr val="bg1">
                <a:lumMod val="85000"/>
              </a:schemeClr>
            </a:gs>
            <a:gs pos="52000">
              <a:schemeClr val="bg1">
                <a:lumMod val="95000"/>
              </a:schemeClr>
            </a:gs>
          </a:gsLst>
          <a:path path="rect">
            <a:fillToRect l="100000" t="100000"/>
          </a:path>
          <a:tileRect r="-100000" b="-100000"/>
        </a:gradFill>
        <a:ln w="3175"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152400</xdr:colOff>
      <xdr:row>0</xdr:row>
      <xdr:rowOff>160866</xdr:rowOff>
    </xdr:from>
    <xdr:to>
      <xdr:col>9</xdr:col>
      <xdr:colOff>67733</xdr:colOff>
      <xdr:row>17</xdr:row>
      <xdr:rowOff>84666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892A0052-1F3C-4BF9-A7C0-6F49A324010D}"/>
            </a:ext>
          </a:extLst>
        </xdr:cNvPr>
        <xdr:cNvSpPr/>
      </xdr:nvSpPr>
      <xdr:spPr>
        <a:xfrm>
          <a:off x="152400" y="160866"/>
          <a:ext cx="5401733" cy="3090333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</a:schemeClr>
            </a:gs>
            <a:gs pos="100000">
              <a:schemeClr val="bg1">
                <a:lumMod val="85000"/>
              </a:schemeClr>
            </a:gs>
            <a:gs pos="52000">
              <a:schemeClr val="bg1">
                <a:lumMod val="95000"/>
              </a:schemeClr>
            </a:gs>
          </a:gsLst>
          <a:path path="rect">
            <a:fillToRect l="100000" t="100000"/>
          </a:path>
          <a:tileRect r="-100000" b="-100000"/>
        </a:gradFill>
        <a:ln w="3175"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16934</xdr:colOff>
      <xdr:row>18</xdr:row>
      <xdr:rowOff>93134</xdr:rowOff>
    </xdr:from>
    <xdr:to>
      <xdr:col>9</xdr:col>
      <xdr:colOff>101600</xdr:colOff>
      <xdr:row>37</xdr:row>
      <xdr:rowOff>50801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50225B40-3F17-47C5-8A42-25B00CE3F2CB}"/>
            </a:ext>
          </a:extLst>
        </xdr:cNvPr>
        <xdr:cNvSpPr/>
      </xdr:nvSpPr>
      <xdr:spPr>
        <a:xfrm>
          <a:off x="16934" y="3445934"/>
          <a:ext cx="5571066" cy="3496734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</a:schemeClr>
            </a:gs>
            <a:gs pos="100000">
              <a:schemeClr val="bg1">
                <a:lumMod val="85000"/>
              </a:schemeClr>
            </a:gs>
            <a:gs pos="52000">
              <a:schemeClr val="bg1">
                <a:lumMod val="95000"/>
              </a:schemeClr>
            </a:gs>
          </a:gsLst>
          <a:path path="rect">
            <a:fillToRect l="100000" t="100000"/>
          </a:path>
          <a:tileRect r="-100000" b="-100000"/>
        </a:gradFill>
        <a:ln w="3175"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245533</xdr:colOff>
      <xdr:row>18</xdr:row>
      <xdr:rowOff>143934</xdr:rowOff>
    </xdr:from>
    <xdr:to>
      <xdr:col>19</xdr:col>
      <xdr:colOff>42332</xdr:colOff>
      <xdr:row>37</xdr:row>
      <xdr:rowOff>67733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E0E157DB-C9E9-4269-89AD-A53D2DF83237}"/>
            </a:ext>
          </a:extLst>
        </xdr:cNvPr>
        <xdr:cNvSpPr/>
      </xdr:nvSpPr>
      <xdr:spPr>
        <a:xfrm>
          <a:off x="5731933" y="3496734"/>
          <a:ext cx="5892799" cy="3462866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</a:schemeClr>
            </a:gs>
            <a:gs pos="100000">
              <a:schemeClr val="bg1">
                <a:lumMod val="85000"/>
              </a:schemeClr>
            </a:gs>
            <a:gs pos="52000">
              <a:schemeClr val="bg1">
                <a:lumMod val="95000"/>
              </a:schemeClr>
            </a:gs>
          </a:gsLst>
          <a:path path="rect">
            <a:fillToRect l="100000" t="100000"/>
          </a:path>
          <a:tileRect r="-100000" b="-100000"/>
        </a:gradFill>
        <a:ln w="3175"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169330</xdr:colOff>
      <xdr:row>0</xdr:row>
      <xdr:rowOff>152400</xdr:rowOff>
    </xdr:from>
    <xdr:to>
      <xdr:col>25</xdr:col>
      <xdr:colOff>471730</xdr:colOff>
      <xdr:row>37</xdr:row>
      <xdr:rowOff>100533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B4E1D433-AAC7-5AE1-CD1B-A5DB900A1BE1}"/>
            </a:ext>
          </a:extLst>
        </xdr:cNvPr>
        <xdr:cNvSpPr/>
      </xdr:nvSpPr>
      <xdr:spPr>
        <a:xfrm>
          <a:off x="11751730" y="152400"/>
          <a:ext cx="3960000" cy="6840000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</a:schemeClr>
            </a:gs>
            <a:gs pos="100000">
              <a:schemeClr val="bg1">
                <a:lumMod val="85000"/>
              </a:schemeClr>
            </a:gs>
            <a:gs pos="52000">
              <a:schemeClr val="bg1">
                <a:lumMod val="95000"/>
              </a:schemeClr>
            </a:gs>
          </a:gsLst>
          <a:path path="rect">
            <a:fillToRect l="100000" t="100000"/>
          </a:path>
          <a:tileRect r="-100000" b="-100000"/>
        </a:gradFill>
        <a:ln w="3175"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333679</xdr:colOff>
      <xdr:row>18</xdr:row>
      <xdr:rowOff>139947</xdr:rowOff>
    </xdr:from>
    <xdr:to>
      <xdr:col>18</xdr:col>
      <xdr:colOff>455202</xdr:colOff>
      <xdr:row>37</xdr:row>
      <xdr:rowOff>80682</xdr:rowOff>
    </xdr:to>
    <xdr:graphicFrame macro="">
      <xdr:nvGraphicFramePr>
        <xdr:cNvPr id="3" name="Gráfico_Debut">
          <a:extLst>
            <a:ext uri="{FF2B5EF4-FFF2-40B4-BE49-F238E27FC236}">
              <a16:creationId xmlns:a16="http://schemas.microsoft.com/office/drawing/2014/main" id="{F75C7D2D-7D28-4D40-98EC-3A5EB4EE5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287864</xdr:colOff>
      <xdr:row>25</xdr:row>
      <xdr:rowOff>67733</xdr:rowOff>
    </xdr:from>
    <xdr:to>
      <xdr:col>25</xdr:col>
      <xdr:colOff>590264</xdr:colOff>
      <xdr:row>37</xdr:row>
      <xdr:rowOff>100533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C466C27-CEF0-4B75-AE2C-AB3499CAE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76202</xdr:colOff>
      <xdr:row>18</xdr:row>
      <xdr:rowOff>143932</xdr:rowOff>
    </xdr:from>
    <xdr:to>
      <xdr:col>8</xdr:col>
      <xdr:colOff>524933</xdr:colOff>
      <xdr:row>37</xdr:row>
      <xdr:rowOff>16932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54B58-608B-4729-B741-D9E249987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140942</xdr:colOff>
      <xdr:row>0</xdr:row>
      <xdr:rowOff>160867</xdr:rowOff>
    </xdr:from>
    <xdr:to>
      <xdr:col>8</xdr:col>
      <xdr:colOff>457200</xdr:colOff>
      <xdr:row>17</xdr:row>
      <xdr:rowOff>107578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E90628A-3748-4133-AF80-4D2308FA5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152396</xdr:colOff>
      <xdr:row>0</xdr:row>
      <xdr:rowOff>152396</xdr:rowOff>
    </xdr:from>
    <xdr:to>
      <xdr:col>25</xdr:col>
      <xdr:colOff>454796</xdr:colOff>
      <xdr:row>12</xdr:row>
      <xdr:rowOff>185196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CA4C0E1-1DD5-47C5-BA81-B77132545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169330</xdr:colOff>
      <xdr:row>13</xdr:row>
      <xdr:rowOff>16932</xdr:rowOff>
    </xdr:from>
    <xdr:to>
      <xdr:col>25</xdr:col>
      <xdr:colOff>471730</xdr:colOff>
      <xdr:row>25</xdr:row>
      <xdr:rowOff>49732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8B2D1AA-557F-4F4E-81F5-C59DBB6CE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177799</xdr:colOff>
      <xdr:row>1</xdr:row>
      <xdr:rowOff>42333</xdr:rowOff>
    </xdr:from>
    <xdr:to>
      <xdr:col>19</xdr:col>
      <xdr:colOff>50800</xdr:colOff>
      <xdr:row>4</xdr:row>
      <xdr:rowOff>59266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B0DDF271-D19B-01C2-12FB-37109B51D03C}"/>
            </a:ext>
          </a:extLst>
        </xdr:cNvPr>
        <xdr:cNvSpPr/>
      </xdr:nvSpPr>
      <xdr:spPr>
        <a:xfrm>
          <a:off x="5664199" y="228600"/>
          <a:ext cx="5969001" cy="575733"/>
        </a:xfrm>
        <a:prstGeom prst="rect">
          <a:avLst/>
        </a:prstGeom>
        <a:gradFill flip="none" rotWithShape="1">
          <a:gsLst>
            <a:gs pos="55000">
              <a:schemeClr val="bg1">
                <a:lumMod val="85000"/>
              </a:schemeClr>
            </a:gs>
            <a:gs pos="0">
              <a:schemeClr val="bg1">
                <a:lumMod val="75000"/>
              </a:schemeClr>
            </a:gs>
            <a:gs pos="100000">
              <a:schemeClr val="bg1">
                <a:lumMod val="75000"/>
              </a:schemeClr>
            </a:gs>
          </a:gsLst>
          <a:lin ang="27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tx1">
                  <a:lumMod val="85000"/>
                  <a:lumOff val="15000"/>
                </a:schemeClr>
              </a:solidFill>
            </a:rPr>
            <a:t>Spotify Streaming</a:t>
          </a:r>
          <a:r>
            <a:rPr lang="pt-BR" sz="2800" b="1" baseline="0">
              <a:solidFill>
                <a:schemeClr val="tx1">
                  <a:lumMod val="85000"/>
                  <a:lumOff val="15000"/>
                </a:schemeClr>
              </a:solidFill>
            </a:rPr>
            <a:t> Artists Dashboard</a:t>
          </a:r>
          <a:endParaRPr lang="pt-BR" sz="2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 editAs="oneCell">
    <xdr:from>
      <xdr:col>14</xdr:col>
      <xdr:colOff>135463</xdr:colOff>
      <xdr:row>4</xdr:row>
      <xdr:rowOff>143934</xdr:rowOff>
    </xdr:from>
    <xdr:to>
      <xdr:col>18</xdr:col>
      <xdr:colOff>397063</xdr:colOff>
      <xdr:row>10</xdr:row>
      <xdr:rowOff>106334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Country of Origin">
              <a:extLst>
                <a:ext uri="{FF2B5EF4-FFF2-40B4-BE49-F238E27FC236}">
                  <a16:creationId xmlns:a16="http://schemas.microsoft.com/office/drawing/2014/main" id="{190C05B8-B38C-4495-BF22-91F97563C6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of Origi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69863" y="889001"/>
              <a:ext cx="2700000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431799</xdr:colOff>
      <xdr:row>4</xdr:row>
      <xdr:rowOff>143932</xdr:rowOff>
    </xdr:from>
    <xdr:to>
      <xdr:col>14</xdr:col>
      <xdr:colOff>83799</xdr:colOff>
      <xdr:row>10</xdr:row>
      <xdr:rowOff>106332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Sex">
              <a:extLst>
                <a:ext uri="{FF2B5EF4-FFF2-40B4-BE49-F238E27FC236}">
                  <a16:creationId xmlns:a16="http://schemas.microsoft.com/office/drawing/2014/main" id="{6106B27C-87E6-4A20-8EBC-613198B8BA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8199" y="888999"/>
              <a:ext cx="2700000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508001</xdr:colOff>
      <xdr:row>10</xdr:row>
      <xdr:rowOff>169331</xdr:rowOff>
    </xdr:from>
    <xdr:to>
      <xdr:col>14</xdr:col>
      <xdr:colOff>88001</xdr:colOff>
      <xdr:row>16</xdr:row>
      <xdr:rowOff>131731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Primary Language">
              <a:extLst>
                <a:ext uri="{FF2B5EF4-FFF2-40B4-BE49-F238E27FC236}">
                  <a16:creationId xmlns:a16="http://schemas.microsoft.com/office/drawing/2014/main" id="{489EA676-29BB-44DC-BAB4-F699E5DE66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mary Langu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4401" y="2031998"/>
              <a:ext cx="2628000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143933</xdr:colOff>
      <xdr:row>10</xdr:row>
      <xdr:rowOff>152400</xdr:rowOff>
    </xdr:from>
    <xdr:to>
      <xdr:col>18</xdr:col>
      <xdr:colOff>333533</xdr:colOff>
      <xdr:row>16</xdr:row>
      <xdr:rowOff>114800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Primary Genre">
              <a:extLst>
                <a:ext uri="{FF2B5EF4-FFF2-40B4-BE49-F238E27FC236}">
                  <a16:creationId xmlns:a16="http://schemas.microsoft.com/office/drawing/2014/main" id="{3065D467-C94C-4C60-A287-2BE1A87A2A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mary Gen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78333" y="2015067"/>
              <a:ext cx="2628000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é Albino" refreshedDate="46257.472727083332" createdVersion="8" refreshedVersion="8" minRefreshableVersion="3" recordCount="500" xr:uid="{DF9004A2-23A0-43CE-B147-777B152EF9B8}">
  <cacheSource type="worksheet">
    <worksheetSource name="Tabela_Base"/>
  </cacheSource>
  <cacheFields count="19">
    <cacheField name="ID" numFmtId="1">
      <sharedItems containsSemiMixedTypes="0" containsString="0" containsNumber="1" containsInteger="1" minValue="1" maxValue="500"/>
    </cacheField>
    <cacheField name="Artist Name" numFmtId="0">
      <sharedItems/>
    </cacheField>
    <cacheField name="Sex" numFmtId="0">
      <sharedItems count="3">
        <s v="Male"/>
        <s v="Mixed"/>
        <s v="Female"/>
      </sharedItems>
    </cacheField>
    <cacheField name="Country of Origin" numFmtId="0">
      <sharedItems count="43">
        <s v="United States"/>
        <s v="United Kingdom"/>
        <s v="Australia"/>
        <s v="India"/>
        <s v="Sweden"/>
        <s v="Senegal"/>
        <s v="Norway"/>
        <s v="Mexico"/>
        <s v="Spain"/>
        <s v="Canada"/>
        <s v="Brazil"/>
        <s v="Pakistan"/>
        <s v="Colombia"/>
        <s v="Philippines"/>
        <s v="Germany"/>
        <s v="Argentina"/>
        <s v="South Korea"/>
        <s v="Jamaica"/>
        <s v="Nigeria"/>
        <s v="Scotland"/>
        <s v="Cuba"/>
        <s v="Chile"/>
        <s v="France"/>
        <s v="Venezuela"/>
        <s v="Dominican Republic"/>
        <s v="Morocco"/>
        <s v="DR Congo"/>
        <s v="Ireland"/>
        <s v="Japan"/>
        <s v="Iceland"/>
        <s v="New Zealand"/>
        <s v="Belgium"/>
        <s v="Denmark"/>
        <s v="Italy"/>
        <s v="Netherlands"/>
        <s v="Trinidad and Tobago"/>
        <s v="Austria"/>
        <s v="Guatemala"/>
        <s v="Barbados"/>
        <s v="Panama"/>
        <s v="South Africa"/>
        <s v="Nepal"/>
        <s v="Russia"/>
      </sharedItems>
    </cacheField>
    <cacheField name="Primary Language" numFmtId="0">
      <sharedItems count="11">
        <s v="English"/>
        <s v="Tamil"/>
        <s v="Spanish"/>
        <s v="Hindi"/>
        <s v="Portuguese"/>
        <s v="Urdu"/>
        <s v="German"/>
        <s v="Korean"/>
        <s v="French"/>
        <s v="Punjabi"/>
        <s v="Italian"/>
      </sharedItems>
    </cacheField>
    <cacheField name="Primary Genre" numFmtId="0">
      <sharedItems count="23">
        <s v="Hip-Hop"/>
        <s v="Rock"/>
        <s v="R&amp;B"/>
        <s v="Filmi"/>
        <s v="Reggaeton"/>
        <s v="Pop"/>
        <s v="EDM"/>
        <s v="Latin"/>
        <s v="Regional Mexican"/>
        <s v="Soul"/>
        <s v="Sertanjeo"/>
        <s v="Metal"/>
        <s v="Bachata"/>
        <s v="Alternative"/>
        <s v="Children's Music"/>
        <s v="K-Pop"/>
        <s v="Reggae"/>
        <s v="Folk"/>
        <s v="Afrobeats"/>
        <s v="Country"/>
        <s v="Spoken Word"/>
        <s v="Soundtrack"/>
        <s v="Nu Metal"/>
      </sharedItems>
    </cacheField>
    <cacheField name=" Artist Type" numFmtId="0">
      <sharedItems count="2">
        <s v="Group"/>
        <s v="Solo"/>
      </sharedItems>
    </cacheField>
    <cacheField name="Debut Year" numFmtId="0">
      <sharedItems containsSemiMixedTypes="0" containsString="0" containsNumber="1" containsInteger="1" minValue="1939" maxValue="2023" count="61">
        <n v="2014"/>
        <n v="2007"/>
        <n v="1991"/>
        <n v="2011"/>
        <n v="2003"/>
        <n v="2017"/>
        <n v="2016"/>
        <n v="1992"/>
        <n v="2004"/>
        <n v="1972"/>
        <n v="1975"/>
        <n v="2008"/>
        <n v="1973"/>
        <n v="1989"/>
        <n v="2015"/>
        <n v="2010"/>
        <n v="2001"/>
        <n v="1980"/>
        <n v="2021"/>
        <n v="2012"/>
        <n v="2013"/>
        <n v="2005"/>
        <n v="2002"/>
        <n v="1996"/>
        <n v="2006"/>
        <n v="2019"/>
        <n v="1963"/>
        <n v="1971"/>
        <n v="1998"/>
        <n v="2018"/>
        <n v="1995"/>
        <n v="1962"/>
        <n v="1984"/>
        <n v="1981"/>
        <n v="1999"/>
        <n v="1968"/>
        <n v="1994"/>
        <n v="2009"/>
        <n v="1967"/>
        <n v="1990"/>
        <n v="1979"/>
        <n v="1978"/>
        <n v="1949"/>
        <n v="2000"/>
        <n v="1969"/>
        <n v="1954"/>
        <n v="2020"/>
        <n v="1939"/>
        <n v="2022"/>
        <n v="1985"/>
        <n v="1977"/>
        <n v="1955"/>
        <n v="1988"/>
        <n v="1997"/>
        <n v="1982"/>
        <n v="1987"/>
        <n v="1983"/>
        <n v="1964"/>
        <n v="2023"/>
        <n v="1993"/>
        <n v="1966"/>
      </sharedItems>
    </cacheField>
    <cacheField name="Total Streams (in millions)" numFmtId="0">
      <sharedItems containsSemiMixedTypes="0" containsString="0" containsNumber="1" minValue="6972" maxValue="137492.1"/>
    </cacheField>
    <cacheField name="Lead Streams (in millions)" numFmtId="0">
      <sharedItems containsSemiMixedTypes="0" containsString="0" containsNumber="1" minValue="0" maxValue="126177.3"/>
    </cacheField>
    <cacheField name="% of Lead Streams" numFmtId="10">
      <sharedItems containsSemiMixedTypes="0" containsString="0" containsNumber="1" minValue="0" maxValue="1.0008999999999999"/>
    </cacheField>
    <cacheField name="Feature Streams (in millions)" numFmtId="0">
      <sharedItems containsSemiMixedTypes="0" containsString="0" containsNumber="1" minValue="0" maxValue="43710.5"/>
    </cacheField>
    <cacheField name="% of Feature Streams" numFmtId="10">
      <sharedItems containsSemiMixedTypes="0" containsString="0" containsNumber="1" minValue="0" maxValue="1.0036"/>
    </cacheField>
    <cacheField name="Solo Streams (in millions)" numFmtId="0">
      <sharedItems containsSemiMixedTypes="0" containsString="0" containsNumber="1" minValue="0" maxValue="113421.5"/>
    </cacheField>
    <cacheField name="% of Solo Streams" numFmtId="10">
      <sharedItems containsSemiMixedTypes="0" containsString="0" containsNumber="1" minValue="0" maxValue="1"/>
    </cacheField>
    <cacheField name="Collaborative Streams (in millions)" numFmtId="0">
      <sharedItems containsSemiMixedTypes="0" containsString="0" containsNumber="1" minValue="0" maxValue="84168.2"/>
    </cacheField>
    <cacheField name="% of Collaborative Streams" numFmtId="10">
      <sharedItems containsSemiMixedTypes="0" containsString="0" containsNumber="1" minValue="0" maxValue="1"/>
    </cacheField>
    <cacheField name="Warnings" numFmtId="10">
      <sharedItems count="2">
        <s v="OK"/>
        <s v="Inconsistency"/>
      </sharedItems>
    </cacheField>
    <cacheField name="Difference number" numFmtId="164">
      <sharedItems containsSemiMixedTypes="0" containsString="0" containsNumber="1" minValue="-39.199999999998909" maxValue="89.199999999998909"/>
    </cacheField>
  </cacheFields>
  <extLst>
    <ext xmlns:x14="http://schemas.microsoft.com/office/spreadsheetml/2009/9/main" uri="{725AE2AE-9491-48be-B2B4-4EB974FC3084}">
      <x14:pivotCacheDefinition pivotCacheId="9067022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s v="$uicideboy$"/>
    <x v="0"/>
    <x v="0"/>
    <x v="0"/>
    <x v="0"/>
    <x v="0"/>
    <x v="0"/>
    <n v="21202.3"/>
    <n v="20357.3"/>
    <n v="0.96009999999999995"/>
    <n v="851.6"/>
    <n v="4.02E-2"/>
    <n v="16646.900000000001"/>
    <n v="0.78510000000000002"/>
    <n v="4555.3999999999996"/>
    <n v="0.21490000000000001"/>
    <x v="0"/>
    <n v="-6.5999999999985448"/>
  </r>
  <r>
    <n v="2"/>
    <s v="2 Chainz"/>
    <x v="0"/>
    <x v="0"/>
    <x v="0"/>
    <x v="0"/>
    <x v="1"/>
    <x v="1"/>
    <n v="13978.6"/>
    <n v="4090.4"/>
    <n v="0.29260000000000003"/>
    <n v="9888.1"/>
    <n v="0.70740000000000003"/>
    <n v="895.7"/>
    <n v="6.4100000000000004E-2"/>
    <n v="13082.9"/>
    <n v="0.93589999999999995"/>
    <x v="0"/>
    <n v="0.1000000000003638"/>
  </r>
  <r>
    <n v="3"/>
    <s v="21 Savage"/>
    <x v="0"/>
    <x v="1"/>
    <x v="0"/>
    <x v="0"/>
    <x v="1"/>
    <x v="0"/>
    <n v="39024.300000000003"/>
    <n v="15878"/>
    <n v="0.40689999999999998"/>
    <n v="23155.599999999999"/>
    <n v="0.59340000000000004"/>
    <n v="7883.1"/>
    <n v="0.20200000000000001"/>
    <n v="31141.200000000001"/>
    <n v="0.79800000000000004"/>
    <x v="0"/>
    <n v="-9.2999999999956344"/>
  </r>
  <r>
    <n v="4"/>
    <s v="2Pac"/>
    <x v="0"/>
    <x v="0"/>
    <x v="0"/>
    <x v="0"/>
    <x v="1"/>
    <x v="2"/>
    <n v="14116.7"/>
    <n v="13659.9"/>
    <n v="0.96760000000000002"/>
    <n v="462.4"/>
    <n v="3.2800000000000003E-2"/>
    <n v="5423.2"/>
    <n v="0.38419999999999999"/>
    <n v="8693.5"/>
    <n v="0.61580000000000001"/>
    <x v="0"/>
    <n v="-5.5999999999985448"/>
  </r>
  <r>
    <n v="5"/>
    <s v="5 Seconds of Summer"/>
    <x v="0"/>
    <x v="2"/>
    <x v="0"/>
    <x v="1"/>
    <x v="0"/>
    <x v="3"/>
    <n v="12788.3"/>
    <n v="12025.6"/>
    <n v="0.94040000000000001"/>
    <n v="766.3"/>
    <n v="5.9900000000000002E-2"/>
    <n v="11526.4"/>
    <n v="0.90129999999999999"/>
    <n v="1261.9000000000001"/>
    <n v="9.8699999999999996E-2"/>
    <x v="0"/>
    <n v="-3.6000000000003638"/>
  </r>
  <r>
    <n v="6"/>
    <s v="50 Cent"/>
    <x v="0"/>
    <x v="0"/>
    <x v="0"/>
    <x v="0"/>
    <x v="1"/>
    <x v="4"/>
    <n v="20444.599999999999"/>
    <n v="14112.2"/>
    <n v="0.69030000000000002"/>
    <n v="6342"/>
    <n v="0.31019999999999998"/>
    <n v="8484.4"/>
    <n v="0.41499999999999998"/>
    <n v="11960.2"/>
    <n v="0.58499999999999996"/>
    <x v="0"/>
    <n v="-9.6000000000021828"/>
  </r>
  <r>
    <n v="7"/>
    <s v="6ix9ine"/>
    <x v="0"/>
    <x v="0"/>
    <x v="0"/>
    <x v="0"/>
    <x v="1"/>
    <x v="5"/>
    <n v="8240.2000000000007"/>
    <n v="6845.4"/>
    <n v="0.83069999999999999"/>
    <n v="1394.8"/>
    <n v="0.16930000000000001"/>
    <n v="2320.6999999999998"/>
    <n v="0.28160000000000002"/>
    <n v="5919.5"/>
    <n v="0.71840000000000004"/>
    <x v="0"/>
    <n v="0"/>
  </r>
  <r>
    <n v="8"/>
    <s v="6LACK"/>
    <x v="0"/>
    <x v="0"/>
    <x v="0"/>
    <x v="2"/>
    <x v="1"/>
    <x v="6"/>
    <n v="7810.5"/>
    <n v="3575.2"/>
    <n v="0.4577"/>
    <n v="4235.2"/>
    <n v="0.54220000000000002"/>
    <n v="2342.1"/>
    <n v="0.2999"/>
    <n v="5468.4"/>
    <n v="0.70009999999999994"/>
    <x v="0"/>
    <n v="0.1000000000003638"/>
  </r>
  <r>
    <n v="9"/>
    <s v="A Boogie Wit da Hoodie"/>
    <x v="0"/>
    <x v="0"/>
    <x v="0"/>
    <x v="0"/>
    <x v="1"/>
    <x v="6"/>
    <n v="16877.3"/>
    <n v="11425.9"/>
    <n v="0.67700000000000005"/>
    <n v="5455.1"/>
    <n v="0.32319999999999999"/>
    <n v="6395.3"/>
    <n v="0.37890000000000001"/>
    <n v="10482"/>
    <n v="0.62109999999999999"/>
    <x v="0"/>
    <n v="-3.7000000000007276"/>
  </r>
  <r>
    <n v="10"/>
    <s v="A$AP Rocky"/>
    <x v="0"/>
    <x v="0"/>
    <x v="0"/>
    <x v="0"/>
    <x v="1"/>
    <x v="3"/>
    <n v="24217.200000000001"/>
    <n v="14721.3"/>
    <n v="0.6079"/>
    <n v="9504.2999999999993"/>
    <n v="0.39250000000000002"/>
    <n v="6253.7"/>
    <n v="0.25819999999999999"/>
    <n v="17963.5"/>
    <n v="0.74180000000000001"/>
    <x v="0"/>
    <n v="-8.3999999999978172"/>
  </r>
  <r>
    <n v="11"/>
    <s v="A.R. Rahman"/>
    <x v="0"/>
    <x v="3"/>
    <x v="1"/>
    <x v="3"/>
    <x v="1"/>
    <x v="7"/>
    <n v="15240.4"/>
    <n v="10857.5"/>
    <n v="0.71240000000000003"/>
    <n v="4397.5"/>
    <n v="0.28849999999999998"/>
    <n v="594.9"/>
    <n v="3.9E-2"/>
    <n v="14645.5"/>
    <n v="0.96099999999999997"/>
    <x v="0"/>
    <n v="-14.600000000000364"/>
  </r>
  <r>
    <n v="12"/>
    <s v="Ã‘engo Flow"/>
    <x v="0"/>
    <x v="0"/>
    <x v="2"/>
    <x v="4"/>
    <x v="1"/>
    <x v="8"/>
    <n v="12713.2"/>
    <n v="12596.1"/>
    <n v="0.99080000000000001"/>
    <n v="124.8"/>
    <n v="9.7999999999999997E-3"/>
    <n v="1284.7"/>
    <n v="0.1011"/>
    <n v="11428.5"/>
    <n v="0.89890000000000003"/>
    <x v="0"/>
    <n v="-7.6999999999989086"/>
  </r>
  <r>
    <n v="13"/>
    <s v="ABBA"/>
    <x v="1"/>
    <x v="4"/>
    <x v="0"/>
    <x v="5"/>
    <x v="0"/>
    <x v="9"/>
    <n v="12992.2"/>
    <n v="10479.5"/>
    <n v="0.80659999999999998"/>
    <n v="2516.3000000000002"/>
    <n v="0.19370000000000001"/>
    <n v="12992.2"/>
    <n v="1"/>
    <n v="0"/>
    <n v="0"/>
    <x v="0"/>
    <n v="-3.5999999999985448"/>
  </r>
  <r>
    <n v="14"/>
    <s v="AC/DC"/>
    <x v="0"/>
    <x v="2"/>
    <x v="0"/>
    <x v="1"/>
    <x v="0"/>
    <x v="10"/>
    <n v="17010.5"/>
    <n v="17018"/>
    <n v="1.0004"/>
    <n v="0"/>
    <n v="0"/>
    <n v="17010.5"/>
    <n v="1"/>
    <n v="0"/>
    <n v="0"/>
    <x v="1"/>
    <n v="-7.5"/>
  </r>
  <r>
    <n v="15"/>
    <s v="Adele"/>
    <x v="2"/>
    <x v="1"/>
    <x v="0"/>
    <x v="5"/>
    <x v="1"/>
    <x v="11"/>
    <n v="28690.5"/>
    <n v="28699.5"/>
    <n v="1.0003"/>
    <n v="0"/>
    <n v="0"/>
    <n v="28537.7"/>
    <n v="0.99470000000000003"/>
    <n v="152.80000000000001"/>
    <n v="5.3E-3"/>
    <x v="1"/>
    <n v="-9"/>
  </r>
  <r>
    <n v="16"/>
    <s v="Aerosmith"/>
    <x v="1"/>
    <x v="0"/>
    <x v="0"/>
    <x v="1"/>
    <x v="0"/>
    <x v="12"/>
    <n v="8200.1"/>
    <n v="7224.1"/>
    <n v="0.88100000000000001"/>
    <n v="979.3"/>
    <n v="0.11940000000000001"/>
    <n v="7171.3"/>
    <n v="0.87450000000000006"/>
    <n v="1028.8"/>
    <n v="0.1255"/>
    <x v="0"/>
    <n v="-3.2999999999992724"/>
  </r>
  <r>
    <n v="17"/>
    <s v="Akon"/>
    <x v="0"/>
    <x v="5"/>
    <x v="0"/>
    <x v="2"/>
    <x v="1"/>
    <x v="8"/>
    <n v="17056"/>
    <n v="8007.4"/>
    <n v="0.46949999999999997"/>
    <n v="9059.5"/>
    <n v="0.53120000000000001"/>
    <n v="4403.1000000000004"/>
    <n v="0.25819999999999999"/>
    <n v="12652.9"/>
    <n v="0.74180000000000001"/>
    <x v="0"/>
    <n v="-10.900000000001455"/>
  </r>
  <r>
    <n v="18"/>
    <s v="Alan Walker"/>
    <x v="0"/>
    <x v="6"/>
    <x v="0"/>
    <x v="6"/>
    <x v="1"/>
    <x v="0"/>
    <n v="16893.400000000001"/>
    <n v="13879.3"/>
    <n v="0.8216"/>
    <n v="3019.1"/>
    <n v="0.1787"/>
    <n v="5321.5"/>
    <n v="0.315"/>
    <n v="11571.9"/>
    <n v="0.68500000000000005"/>
    <x v="0"/>
    <n v="-4.999999999996362"/>
  </r>
  <r>
    <n v="19"/>
    <s v="Alejandro FernÃ¡ndez"/>
    <x v="0"/>
    <x v="7"/>
    <x v="2"/>
    <x v="7"/>
    <x v="1"/>
    <x v="7"/>
    <n v="8617.1"/>
    <n v="7717.5"/>
    <n v="0.89559999999999995"/>
    <n v="899.6"/>
    <n v="0.10440000000000001"/>
    <n v="6368.3"/>
    <n v="0.73899999999999999"/>
    <n v="2248.8000000000002"/>
    <n v="0.26100000000000001"/>
    <x v="0"/>
    <n v="0"/>
  </r>
  <r>
    <n v="20"/>
    <s v="Alejandro Sanz"/>
    <x v="0"/>
    <x v="8"/>
    <x v="2"/>
    <x v="7"/>
    <x v="1"/>
    <x v="13"/>
    <n v="9340.1"/>
    <n v="6691.7"/>
    <n v="0.71640000000000004"/>
    <n v="2658.2"/>
    <n v="0.28460000000000002"/>
    <n v="5230.2"/>
    <n v="0.56000000000000005"/>
    <n v="4109.8999999999996"/>
    <n v="0.44"/>
    <x v="0"/>
    <n v="-9.7999999999992724"/>
  </r>
  <r>
    <n v="21"/>
    <s v="Alessia Cara"/>
    <x v="2"/>
    <x v="9"/>
    <x v="0"/>
    <x v="5"/>
    <x v="1"/>
    <x v="14"/>
    <n v="10179.299999999999"/>
    <n v="6431.1"/>
    <n v="0.63180000000000003"/>
    <n v="3750.4"/>
    <n v="0.36840000000000001"/>
    <n v="5420.2"/>
    <n v="0.53249999999999997"/>
    <n v="4759.1000000000004"/>
    <n v="0.46750000000000003"/>
    <x v="0"/>
    <n v="-2.2000000000007276"/>
  </r>
  <r>
    <n v="22"/>
    <s v="Alesso"/>
    <x v="0"/>
    <x v="4"/>
    <x v="0"/>
    <x v="6"/>
    <x v="1"/>
    <x v="15"/>
    <n v="7765.7"/>
    <n v="4434.2"/>
    <n v="0.57099999999999995"/>
    <n v="3331.5"/>
    <n v="0.42899999999999999"/>
    <n v="781.1"/>
    <n v="0.10059999999999999"/>
    <n v="6984.6"/>
    <n v="0.89939999999999998"/>
    <x v="0"/>
    <n v="0"/>
  </r>
  <r>
    <n v="23"/>
    <s v="Alfredo Olivas"/>
    <x v="0"/>
    <x v="7"/>
    <x v="2"/>
    <x v="8"/>
    <x v="1"/>
    <x v="3"/>
    <n v="8916"/>
    <n v="8080"/>
    <n v="0.90620000000000001"/>
    <n v="844.9"/>
    <n v="9.4799999999999995E-2"/>
    <n v="7975.8"/>
    <n v="0.89449999999999996"/>
    <n v="940.2"/>
    <n v="0.1055"/>
    <x v="0"/>
    <n v="-8.8999999999996362"/>
  </r>
  <r>
    <n v="24"/>
    <s v="Alicia Keys"/>
    <x v="2"/>
    <x v="0"/>
    <x v="0"/>
    <x v="2"/>
    <x v="1"/>
    <x v="16"/>
    <n v="12099.6"/>
    <n v="8350.5"/>
    <n v="0.69010000000000005"/>
    <n v="3754.7"/>
    <n v="0.31030000000000002"/>
    <n v="7341.3"/>
    <n v="0.60670000000000002"/>
    <n v="4758.3"/>
    <n v="0.39329999999999998"/>
    <x v="0"/>
    <n v="-5.6000000000003638"/>
  </r>
  <r>
    <n v="25"/>
    <s v="Alka Yagnik"/>
    <x v="2"/>
    <x v="3"/>
    <x v="3"/>
    <x v="3"/>
    <x v="1"/>
    <x v="17"/>
    <n v="8988.2000000000007"/>
    <n v="2897.2"/>
    <n v="0.32229999999999998"/>
    <n v="6102.8"/>
    <n v="0.67900000000000005"/>
    <n v="551.1"/>
    <n v="6.13E-2"/>
    <n v="8437.1"/>
    <n v="0.93869999999999998"/>
    <x v="0"/>
    <n v="-11.799999999999272"/>
  </r>
  <r>
    <n v="26"/>
    <s v="Alok"/>
    <x v="0"/>
    <x v="10"/>
    <x v="4"/>
    <x v="6"/>
    <x v="1"/>
    <x v="8"/>
    <n v="10115.700000000001"/>
    <n v="9351.5"/>
    <n v="0.92449999999999999"/>
    <n v="766.2"/>
    <n v="7.5700000000000003E-2"/>
    <n v="269.8"/>
    <n v="2.6700000000000002E-2"/>
    <n v="9845.9"/>
    <n v="0.97330000000000005"/>
    <x v="0"/>
    <n v="-2"/>
  </r>
  <r>
    <n v="27"/>
    <s v="Amitabh Bhattacharya"/>
    <x v="0"/>
    <x v="3"/>
    <x v="3"/>
    <x v="3"/>
    <x v="1"/>
    <x v="11"/>
    <n v="12136.7"/>
    <n v="8.4"/>
    <n v="6.9999999999999999E-4"/>
    <n v="12135.9"/>
    <n v="0.99990000000000001"/>
    <n v="0"/>
    <n v="0"/>
    <n v="12136.7"/>
    <n v="1"/>
    <x v="0"/>
    <n v="-7.5999999999985448"/>
  </r>
  <r>
    <n v="28"/>
    <s v="Amy Winehouse"/>
    <x v="2"/>
    <x v="1"/>
    <x v="0"/>
    <x v="9"/>
    <x v="1"/>
    <x v="4"/>
    <n v="8780.4"/>
    <n v="8238.2000000000007"/>
    <n v="0.93820000000000003"/>
    <n v="547.70000000000005"/>
    <n v="6.2399999999999997E-2"/>
    <n v="7557.9"/>
    <n v="0.86080000000000001"/>
    <n v="1222.5"/>
    <n v="0.13919999999999999"/>
    <x v="0"/>
    <n v="-5.500000000001819"/>
  </r>
  <r>
    <n v="29"/>
    <s v="Ana Castela"/>
    <x v="2"/>
    <x v="10"/>
    <x v="4"/>
    <x v="10"/>
    <x v="1"/>
    <x v="18"/>
    <n v="7467.3"/>
    <n v="7464.6"/>
    <n v="0.99960000000000004"/>
    <n v="26"/>
    <n v="3.5000000000000001E-3"/>
    <n v="1330.8"/>
    <n v="0.1782"/>
    <n v="6136.5"/>
    <n v="0.82179999999999997"/>
    <x v="0"/>
    <n v="-23.300000000000182"/>
  </r>
  <r>
    <n v="30"/>
    <s v="Anderson .Paak"/>
    <x v="0"/>
    <x v="0"/>
    <x v="0"/>
    <x v="2"/>
    <x v="1"/>
    <x v="0"/>
    <n v="9513.7000000000007"/>
    <n v="9454.2999999999993"/>
    <n v="0.99380000000000002"/>
    <n v="63.4"/>
    <n v="6.7000000000000002E-3"/>
    <n v="1289.2"/>
    <n v="0.13550000000000001"/>
    <n v="8224.5"/>
    <n v="0.86450000000000005"/>
    <x v="0"/>
    <n v="-3.999999999998181"/>
  </r>
  <r>
    <n v="31"/>
    <s v="Anirudh Ravichander"/>
    <x v="0"/>
    <x v="3"/>
    <x v="1"/>
    <x v="3"/>
    <x v="1"/>
    <x v="19"/>
    <n v="14897.8"/>
    <n v="12456.5"/>
    <n v="0.83609999999999995"/>
    <n v="2450"/>
    <n v="0.16450000000000001"/>
    <n v="1543.3"/>
    <n v="0.1036"/>
    <n v="13354.5"/>
    <n v="0.89639999999999997"/>
    <x v="0"/>
    <n v="-8.7000000000007276"/>
  </r>
  <r>
    <n v="32"/>
    <s v="Anitta"/>
    <x v="2"/>
    <x v="10"/>
    <x v="4"/>
    <x v="5"/>
    <x v="1"/>
    <x v="19"/>
    <n v="15525.6"/>
    <n v="11131.7"/>
    <n v="0.71699999999999997"/>
    <n v="4374.8"/>
    <n v="0.28179999999999999"/>
    <n v="3212"/>
    <n v="0.2069"/>
    <n v="12313.6"/>
    <n v="0.79310000000000003"/>
    <x v="0"/>
    <n v="19.100000000000364"/>
  </r>
  <r>
    <n v="33"/>
    <s v="Anne-Marie"/>
    <x v="2"/>
    <x v="1"/>
    <x v="0"/>
    <x v="5"/>
    <x v="1"/>
    <x v="20"/>
    <n v="12593"/>
    <n v="12542.7"/>
    <n v="0.996"/>
    <n v="29.5"/>
    <n v="2.3E-3"/>
    <n v="3706.6"/>
    <n v="0.29430000000000001"/>
    <n v="8886.4"/>
    <n v="0.70569999999999999"/>
    <x v="0"/>
    <n v="20.799999999999272"/>
  </r>
  <r>
    <n v="34"/>
    <s v="Anuel AA"/>
    <x v="0"/>
    <x v="0"/>
    <x v="2"/>
    <x v="4"/>
    <x v="1"/>
    <x v="3"/>
    <n v="40453.300000000003"/>
    <n v="18355.599999999999"/>
    <n v="0.45369999999999999"/>
    <n v="22118.9"/>
    <n v="0.54679999999999995"/>
    <n v="6177"/>
    <n v="0.1527"/>
    <n v="34276.300000000003"/>
    <n v="0.84730000000000005"/>
    <x v="0"/>
    <n v="-21.19999999999709"/>
  </r>
  <r>
    <n v="35"/>
    <s v="ArcÃ¡ngel"/>
    <x v="0"/>
    <x v="0"/>
    <x v="2"/>
    <x v="4"/>
    <x v="1"/>
    <x v="8"/>
    <n v="21937.3"/>
    <n v="8927.4"/>
    <n v="0.40699999999999997"/>
    <n v="13023.3"/>
    <n v="0.59370000000000001"/>
    <n v="3007"/>
    <n v="0.1371"/>
    <n v="18930.3"/>
    <n v="0.8629"/>
    <x v="0"/>
    <n v="-13.399999999997817"/>
  </r>
  <r>
    <n v="36"/>
    <s v="Arctic Monkeys"/>
    <x v="0"/>
    <x v="1"/>
    <x v="0"/>
    <x v="1"/>
    <x v="0"/>
    <x v="21"/>
    <n v="28155.4"/>
    <n v="28166.2"/>
    <n v="1.0004"/>
    <n v="0"/>
    <n v="0"/>
    <n v="28130.400000000001"/>
    <n v="0.99909999999999999"/>
    <n v="25"/>
    <n v="8.9999999999999998E-4"/>
    <x v="1"/>
    <n v="-10.799999999999272"/>
  </r>
  <r>
    <n v="37"/>
    <s v="Ariana Grande"/>
    <x v="2"/>
    <x v="0"/>
    <x v="0"/>
    <x v="5"/>
    <x v="1"/>
    <x v="20"/>
    <n v="68298.899999999994"/>
    <n v="57097.5"/>
    <n v="0.83599999999999997"/>
    <n v="11201.4"/>
    <n v="0.16400000000000001"/>
    <n v="41615.5"/>
    <n v="0.60929999999999995"/>
    <n v="26683.4"/>
    <n v="0.39069999999999999"/>
    <x v="0"/>
    <n v="0"/>
  </r>
  <r>
    <n v="38"/>
    <s v="Arijit Singh"/>
    <x v="0"/>
    <x v="3"/>
    <x v="3"/>
    <x v="3"/>
    <x v="1"/>
    <x v="3"/>
    <n v="37687.800000000003"/>
    <n v="13330.4"/>
    <n v="0.35370000000000001"/>
    <n v="24384.799999999999"/>
    <n v="0.64700000000000002"/>
    <n v="4537.3999999999996"/>
    <n v="0.12039999999999999"/>
    <n v="33150.400000000001"/>
    <n v="0.87960000000000005"/>
    <x v="0"/>
    <n v="-27.399999999994179"/>
  </r>
  <r>
    <n v="39"/>
    <s v="Atif Aslam"/>
    <x v="0"/>
    <x v="11"/>
    <x v="5"/>
    <x v="5"/>
    <x v="1"/>
    <x v="22"/>
    <n v="7934.5"/>
    <n v="2022.8"/>
    <n v="0.25490000000000002"/>
    <n v="5906"/>
    <n v="0.74429999999999996"/>
    <n v="723"/>
    <n v="9.11E-2"/>
    <n v="7211.5"/>
    <n v="0.90890000000000004"/>
    <x v="0"/>
    <n v="5.6999999999998181"/>
  </r>
  <r>
    <n v="40"/>
    <s v="Ava Max"/>
    <x v="2"/>
    <x v="0"/>
    <x v="0"/>
    <x v="5"/>
    <x v="1"/>
    <x v="11"/>
    <n v="12700.7"/>
    <n v="8281.2000000000007"/>
    <n v="0.65200000000000002"/>
    <n v="4423.1000000000004"/>
    <n v="0.3483"/>
    <n v="7763.9"/>
    <n v="0.61129999999999995"/>
    <n v="4936.8"/>
    <n v="0.38869999999999999"/>
    <x v="0"/>
    <n v="-3.6000000000003638"/>
  </r>
  <r>
    <n v="41"/>
    <s v="Avenged Sevenfold"/>
    <x v="0"/>
    <x v="0"/>
    <x v="0"/>
    <x v="11"/>
    <x v="0"/>
    <x v="16"/>
    <n v="7871.9"/>
    <n v="7152"/>
    <n v="0.90849999999999997"/>
    <n v="706.6"/>
    <n v="8.9800000000000005E-2"/>
    <n v="7858.1"/>
    <n v="0.99819999999999998"/>
    <n v="13.8"/>
    <n v="1.8E-3"/>
    <x v="0"/>
    <n v="13.299999999999272"/>
  </r>
  <r>
    <n v="42"/>
    <s v="Aventura"/>
    <x v="0"/>
    <x v="0"/>
    <x v="2"/>
    <x v="12"/>
    <x v="0"/>
    <x v="23"/>
    <n v="10607"/>
    <n v="10520.3"/>
    <n v="0.99180000000000001"/>
    <n v="92.7"/>
    <n v="8.6999999999999994E-3"/>
    <n v="8371.2999999999993"/>
    <n v="0.78920000000000001"/>
    <n v="2235.6999999999998"/>
    <n v="0.21079999999999999"/>
    <x v="0"/>
    <n v="-6"/>
  </r>
  <r>
    <n v="43"/>
    <s v="Avicii"/>
    <x v="0"/>
    <x v="4"/>
    <x v="0"/>
    <x v="6"/>
    <x v="1"/>
    <x v="24"/>
    <n v="21003.5"/>
    <n v="20142.3"/>
    <n v="0.95899999999999996"/>
    <n v="867.4"/>
    <n v="4.1300000000000003E-2"/>
    <n v="14179.7"/>
    <n v="0.67510000000000003"/>
    <n v="6823.8"/>
    <n v="0.32490000000000002"/>
    <x v="0"/>
    <n v="-6.2000000000007276"/>
  </r>
  <r>
    <n v="44"/>
    <s v="Avril Lavigne"/>
    <x v="2"/>
    <x v="9"/>
    <x v="0"/>
    <x v="5"/>
    <x v="1"/>
    <x v="22"/>
    <n v="8706.4"/>
    <n v="8477.2999999999993"/>
    <n v="0.97370000000000001"/>
    <n v="233"/>
    <n v="2.6800000000000001E-2"/>
    <n v="8083.8"/>
    <n v="0.92849999999999999"/>
    <n v="622.6"/>
    <n v="7.1499999999999994E-2"/>
    <x v="0"/>
    <n v="-3.8999999999996362"/>
  </r>
  <r>
    <n v="45"/>
    <s v="B.o.B"/>
    <x v="0"/>
    <x v="0"/>
    <x v="0"/>
    <x v="0"/>
    <x v="1"/>
    <x v="1"/>
    <n v="7431.9"/>
    <n v="6391.9"/>
    <n v="0.86009999999999998"/>
    <n v="1058.7"/>
    <n v="0.14249999999999999"/>
    <n v="528.20000000000005"/>
    <n v="7.1099999999999997E-2"/>
    <n v="6903.7"/>
    <n v="0.92889999999999995"/>
    <x v="0"/>
    <n v="-18.699999999999818"/>
  </r>
  <r>
    <n v="46"/>
    <s v="Backstreet Boys"/>
    <x v="1"/>
    <x v="0"/>
    <x v="0"/>
    <x v="5"/>
    <x v="0"/>
    <x v="23"/>
    <n v="8485.9"/>
    <n v="8144"/>
    <n v="0.9597"/>
    <n v="346"/>
    <n v="4.0800000000000003E-2"/>
    <n v="8125.7"/>
    <n v="0.95760000000000001"/>
    <n v="360.2"/>
    <n v="4.24E-2"/>
    <x v="0"/>
    <n v="-4.1000000000003638"/>
  </r>
  <r>
    <n v="47"/>
    <s v="Bad Bunny"/>
    <x v="0"/>
    <x v="0"/>
    <x v="2"/>
    <x v="4"/>
    <x v="1"/>
    <x v="20"/>
    <n v="125899.8"/>
    <n v="82189.3"/>
    <n v="0.65280000000000005"/>
    <n v="43710.5"/>
    <n v="0.34720000000000001"/>
    <n v="48887"/>
    <n v="0.38829999999999998"/>
    <n v="77012.800000000003"/>
    <n v="0.61170000000000002"/>
    <x v="0"/>
    <n v="0"/>
  </r>
  <r>
    <n v="48"/>
    <s v="Banda MS de Sergio LizÃ¡rraga"/>
    <x v="0"/>
    <x v="7"/>
    <x v="2"/>
    <x v="8"/>
    <x v="0"/>
    <x v="4"/>
    <n v="13433.6"/>
    <n v="12366.7"/>
    <n v="0.92059999999999997"/>
    <n v="1072.9000000000001"/>
    <n v="7.9899999999999999E-2"/>
    <n v="11154.7"/>
    <n v="0.83040000000000003"/>
    <n v="2278.9"/>
    <n v="0.1696"/>
    <x v="0"/>
    <n v="-6"/>
  </r>
  <r>
    <n v="49"/>
    <s v="Bastille"/>
    <x v="0"/>
    <x v="1"/>
    <x v="0"/>
    <x v="13"/>
    <x v="0"/>
    <x v="15"/>
    <n v="9439.9"/>
    <n v="4498.2"/>
    <n v="0.47649999999999998"/>
    <n v="4948.6000000000004"/>
    <n v="0.5242"/>
    <n v="5621.4"/>
    <n v="0.59550000000000003"/>
    <n v="3818.5"/>
    <n v="0.40450000000000003"/>
    <x v="0"/>
    <n v="-6.8999999999996362"/>
  </r>
  <r>
    <n v="50"/>
    <s v="BeÃ©le"/>
    <x v="0"/>
    <x v="12"/>
    <x v="2"/>
    <x v="4"/>
    <x v="1"/>
    <x v="25"/>
    <n v="10974"/>
    <n v="9511.5"/>
    <n v="0.86670000000000003"/>
    <n v="1474.2"/>
    <n v="0.1343"/>
    <n v="3645.8"/>
    <n v="0.3322"/>
    <n v="7328.2"/>
    <n v="0.66779999999999995"/>
    <x v="0"/>
    <n v="-11.700000000000728"/>
  </r>
  <r>
    <n v="51"/>
    <s v="beabadoobee"/>
    <x v="2"/>
    <x v="13"/>
    <x v="0"/>
    <x v="1"/>
    <x v="1"/>
    <x v="5"/>
    <n v="7552.8"/>
    <n v="5418.1"/>
    <n v="0.71740000000000004"/>
    <n v="2144.1"/>
    <n v="0.28389999999999999"/>
    <n v="4710"/>
    <n v="0.62360000000000004"/>
    <n v="2842.8"/>
    <n v="0.37640000000000001"/>
    <x v="0"/>
    <n v="-9.4000000000005457"/>
  </r>
  <r>
    <n v="52"/>
    <s v="Bebe Rexha"/>
    <x v="2"/>
    <x v="0"/>
    <x v="0"/>
    <x v="5"/>
    <x v="1"/>
    <x v="0"/>
    <n v="17440.2"/>
    <n v="5933.3"/>
    <n v="0.3402"/>
    <n v="11512.1"/>
    <n v="0.66010000000000002"/>
    <n v="2784"/>
    <n v="0.15959999999999999"/>
    <n v="14656.2"/>
    <n v="0.84040000000000004"/>
    <x v="0"/>
    <n v="-5.2000000000007276"/>
  </r>
  <r>
    <n v="53"/>
    <s v="Becky G"/>
    <x v="2"/>
    <x v="0"/>
    <x v="2"/>
    <x v="7"/>
    <x v="1"/>
    <x v="20"/>
    <n v="12985.2"/>
    <n v="8772.2000000000007"/>
    <n v="0.67559999999999998"/>
    <n v="4216.8"/>
    <n v="0.32469999999999999"/>
    <n v="2160.8000000000002"/>
    <n v="0.16639999999999999"/>
    <n v="10824.4"/>
    <n v="0.83360000000000001"/>
    <x v="0"/>
    <n v="-3.7999999999992724"/>
  </r>
  <r>
    <n v="54"/>
    <s v="Bee Gees"/>
    <x v="0"/>
    <x v="1"/>
    <x v="0"/>
    <x v="5"/>
    <x v="0"/>
    <x v="26"/>
    <n v="8197.2000000000007"/>
    <n v="8080.4"/>
    <n v="0.98580000000000001"/>
    <n v="120.7"/>
    <n v="1.47E-2"/>
    <n v="7892.6"/>
    <n v="0.96279999999999999"/>
    <n v="304.60000000000002"/>
    <n v="3.7199999999999997E-2"/>
    <x v="0"/>
    <n v="-3.8999999999996362"/>
  </r>
  <r>
    <n v="55"/>
    <s v="benny blanco"/>
    <x v="0"/>
    <x v="0"/>
    <x v="0"/>
    <x v="5"/>
    <x v="1"/>
    <x v="1"/>
    <n v="7114.1"/>
    <n v="4400.3"/>
    <n v="0.61850000000000005"/>
    <n v="2716"/>
    <n v="0.38179999999999997"/>
    <n v="3.9"/>
    <n v="5.0000000000000001E-4"/>
    <n v="7110.2"/>
    <n v="0.99950000000000006"/>
    <x v="0"/>
    <n v="-2.1999999999998181"/>
  </r>
  <r>
    <n v="56"/>
    <s v="Benson Boone"/>
    <x v="0"/>
    <x v="0"/>
    <x v="0"/>
    <x v="5"/>
    <x v="1"/>
    <x v="18"/>
    <n v="9949.6"/>
    <n v="9956.4"/>
    <n v="1.0006999999999999"/>
    <n v="0"/>
    <n v="0"/>
    <n v="9911.9"/>
    <n v="0.99619999999999997"/>
    <n v="37.700000000000003"/>
    <n v="3.8E-3"/>
    <x v="1"/>
    <n v="-6.7999999999992724"/>
  </r>
  <r>
    <n v="57"/>
    <s v="BeyoncÃ©"/>
    <x v="2"/>
    <x v="0"/>
    <x v="0"/>
    <x v="5"/>
    <x v="1"/>
    <x v="4"/>
    <n v="34975.199999999997"/>
    <n v="29662.799999999999"/>
    <n v="0.84809999999999997"/>
    <n v="5325.3"/>
    <n v="0.15229999999999999"/>
    <n v="21863.9"/>
    <n v="0.62509999999999999"/>
    <n v="13111.3"/>
    <n v="0.37490000000000001"/>
    <x v="0"/>
    <n v="-12.900000000001455"/>
  </r>
  <r>
    <n v="58"/>
    <s v="Bibi Blocksberg"/>
    <x v="2"/>
    <x v="14"/>
    <x v="6"/>
    <x v="14"/>
    <x v="1"/>
    <x v="17"/>
    <n v="8316.5"/>
    <n v="8317.7999999999993"/>
    <n v="1.0002"/>
    <n v="0"/>
    <n v="0"/>
    <n v="8289"/>
    <n v="0.99670000000000003"/>
    <n v="27.5"/>
    <n v="3.3E-3"/>
    <x v="1"/>
    <n v="-1.2999999999992724"/>
  </r>
  <r>
    <n v="59"/>
    <s v="Big Sean"/>
    <x v="0"/>
    <x v="0"/>
    <x v="0"/>
    <x v="0"/>
    <x v="1"/>
    <x v="1"/>
    <n v="16428.900000000001"/>
    <n v="12009.4"/>
    <n v="0.73099999999999998"/>
    <n v="4364.5"/>
    <n v="0.26569999999999999"/>
    <n v="2139"/>
    <n v="0.13020000000000001"/>
    <n v="14289.9"/>
    <n v="0.86980000000000002"/>
    <x v="0"/>
    <n v="55.000000000001819"/>
  </r>
  <r>
    <n v="60"/>
    <s v="Billie Eilish"/>
    <x v="2"/>
    <x v="0"/>
    <x v="0"/>
    <x v="5"/>
    <x v="1"/>
    <x v="14"/>
    <n v="58049.5"/>
    <n v="57160.1"/>
    <n v="0.98470000000000002"/>
    <n v="889.4"/>
    <n v="1.5299999999999999E-2"/>
    <n v="51567.9"/>
    <n v="0.88829999999999998"/>
    <n v="6481.6"/>
    <n v="0.11169999999999999"/>
    <x v="0"/>
    <n v="0"/>
  </r>
  <r>
    <n v="61"/>
    <s v="Billy Joel"/>
    <x v="0"/>
    <x v="0"/>
    <x v="0"/>
    <x v="1"/>
    <x v="1"/>
    <x v="27"/>
    <n v="9290.9"/>
    <n v="9255.2000000000007"/>
    <n v="0.99619999999999997"/>
    <n v="40.4"/>
    <n v="4.3E-3"/>
    <n v="9207.2000000000007"/>
    <n v="0.99099999999999999"/>
    <n v="83.7"/>
    <n v="8.9999999999999993E-3"/>
    <x v="0"/>
    <n v="-4.7000000000007276"/>
  </r>
  <r>
    <n v="62"/>
    <s v="Bizarrap"/>
    <x v="0"/>
    <x v="15"/>
    <x v="2"/>
    <x v="7"/>
    <x v="1"/>
    <x v="5"/>
    <n v="15638.8"/>
    <n v="13216.1"/>
    <n v="0.84509999999999996"/>
    <n v="2427.1999999999998"/>
    <n v="0.1552"/>
    <n v="84.5"/>
    <n v="5.4000000000000003E-3"/>
    <n v="15554.3"/>
    <n v="0.99460000000000004"/>
    <x v="0"/>
    <n v="-4.5"/>
  </r>
  <r>
    <n v="63"/>
    <s v="Black Eyed Peas"/>
    <x v="1"/>
    <x v="0"/>
    <x v="0"/>
    <x v="0"/>
    <x v="0"/>
    <x v="28"/>
    <n v="15775.7"/>
    <n v="15257.4"/>
    <n v="0.96709999999999996"/>
    <n v="527.70000000000005"/>
    <n v="3.3500000000000002E-2"/>
    <n v="11623"/>
    <n v="0.73680000000000001"/>
    <n v="4152.7"/>
    <n v="0.26319999999999999"/>
    <x v="0"/>
    <n v="-9.3999999999996362"/>
  </r>
  <r>
    <n v="64"/>
    <s v="blackbear"/>
    <x v="0"/>
    <x v="0"/>
    <x v="0"/>
    <x v="2"/>
    <x v="1"/>
    <x v="24"/>
    <n v="11428.5"/>
    <n v="7562.2"/>
    <n v="0.66169999999999995"/>
    <n v="3868"/>
    <n v="0.33850000000000002"/>
    <n v="6108.9"/>
    <n v="0.53449999999999998"/>
    <n v="5319.6"/>
    <n v="0.46550000000000002"/>
    <x v="0"/>
    <n v="-1.7000000000007276"/>
  </r>
  <r>
    <n v="65"/>
    <s v="BLACKPINK"/>
    <x v="2"/>
    <x v="16"/>
    <x v="7"/>
    <x v="15"/>
    <x v="0"/>
    <x v="6"/>
    <n v="17517.400000000001"/>
    <n v="7595.2"/>
    <n v="0.43359999999999999"/>
    <n v="9927.7999999999993"/>
    <n v="0.56669999999999998"/>
    <n v="15415.4"/>
    <n v="0.88"/>
    <n v="2102"/>
    <n v="0.12"/>
    <x v="0"/>
    <n v="-5.5999999999985448"/>
  </r>
  <r>
    <n v="66"/>
    <s v="Blessd"/>
    <x v="0"/>
    <x v="12"/>
    <x v="2"/>
    <x v="4"/>
    <x v="1"/>
    <x v="29"/>
    <n v="8965"/>
    <n v="6387.9"/>
    <n v="0.71250000000000002"/>
    <n v="2587.4"/>
    <n v="0.28860000000000002"/>
    <n v="1238.0999999999999"/>
    <n v="0.1381"/>
    <n v="7726.9"/>
    <n v="0.8619"/>
    <x v="0"/>
    <n v="-10.299999999999272"/>
  </r>
  <r>
    <n v="67"/>
    <s v="blink-182"/>
    <x v="0"/>
    <x v="0"/>
    <x v="0"/>
    <x v="1"/>
    <x v="0"/>
    <x v="30"/>
    <n v="10760.4"/>
    <n v="10630.4"/>
    <n v="0.9879"/>
    <n v="133.80000000000001"/>
    <n v="1.24E-2"/>
    <n v="10584.7"/>
    <n v="0.98370000000000002"/>
    <n v="175.7"/>
    <n v="1.6299999999999999E-2"/>
    <x v="0"/>
    <n v="-3.7999999999992724"/>
  </r>
  <r>
    <n v="68"/>
    <s v="Bob Marley &amp; The Wailers"/>
    <x v="0"/>
    <x v="17"/>
    <x v="0"/>
    <x v="16"/>
    <x v="0"/>
    <x v="31"/>
    <n v="14992.7"/>
    <n v="14837.1"/>
    <n v="0.98960000000000004"/>
    <n v="161.6"/>
    <n v="1.0800000000000001E-2"/>
    <n v="13836"/>
    <n v="0.92279999999999995"/>
    <n v="1156.7"/>
    <n v="7.7200000000000005E-2"/>
    <x v="0"/>
    <n v="-6"/>
  </r>
  <r>
    <n v="69"/>
    <s v="Bon Iver"/>
    <x v="0"/>
    <x v="0"/>
    <x v="0"/>
    <x v="17"/>
    <x v="1"/>
    <x v="1"/>
    <n v="8065.4"/>
    <n v="7161.8"/>
    <n v="0.88800000000000001"/>
    <n v="905.7"/>
    <n v="0.1123"/>
    <n v="4817"/>
    <n v="0.59719999999999995"/>
    <n v="3248.4"/>
    <n v="0.40279999999999999"/>
    <x v="0"/>
    <n v="-2.1000000000003638"/>
  </r>
  <r>
    <n v="70"/>
    <s v="Bon Jovi"/>
    <x v="0"/>
    <x v="0"/>
    <x v="0"/>
    <x v="1"/>
    <x v="0"/>
    <x v="32"/>
    <n v="10771.3"/>
    <n v="10772.2"/>
    <n v="1.0001"/>
    <n v="0.6"/>
    <n v="1E-4"/>
    <n v="10575.9"/>
    <n v="0.9819"/>
    <n v="195.4"/>
    <n v="1.8100000000000002E-2"/>
    <x v="1"/>
    <n v="-1.500000000001819"/>
  </r>
  <r>
    <n v="71"/>
    <s v="Bonez MC"/>
    <x v="0"/>
    <x v="14"/>
    <x v="6"/>
    <x v="0"/>
    <x v="1"/>
    <x v="24"/>
    <n v="8326.7000000000007"/>
    <n v="4696.3999999999996"/>
    <n v="0.56399999999999995"/>
    <n v="3630.4"/>
    <n v="0.436"/>
    <n v="1125.8"/>
    <n v="0.13519999999999999"/>
    <n v="7200.9"/>
    <n v="0.86480000000000001"/>
    <x v="0"/>
    <n v="-9.9999999998544808E-2"/>
  </r>
  <r>
    <n v="72"/>
    <s v="Brent Faiyaz"/>
    <x v="0"/>
    <x v="0"/>
    <x v="0"/>
    <x v="2"/>
    <x v="1"/>
    <x v="20"/>
    <n v="13490.4"/>
    <n v="9955.4"/>
    <n v="0.73799999999999999"/>
    <n v="3540.8"/>
    <n v="0.26250000000000001"/>
    <n v="8582.9"/>
    <n v="0.63619999999999999"/>
    <n v="4907.5"/>
    <n v="0.36380000000000001"/>
    <x v="0"/>
    <n v="-5.8000000000010914"/>
  </r>
  <r>
    <n v="73"/>
    <s v="Bring Me The Horizon"/>
    <x v="0"/>
    <x v="1"/>
    <x v="0"/>
    <x v="1"/>
    <x v="0"/>
    <x v="24"/>
    <n v="10108"/>
    <n v="8333.7000000000007"/>
    <n v="0.82450000000000001"/>
    <n v="1782"/>
    <n v="0.17630000000000001"/>
    <n v="8006.1"/>
    <n v="0.79210000000000003"/>
    <n v="2101.9"/>
    <n v="0.2079"/>
    <x v="0"/>
    <n v="-7.7000000000007276"/>
  </r>
  <r>
    <n v="74"/>
    <s v="Britney Spears"/>
    <x v="2"/>
    <x v="0"/>
    <x v="0"/>
    <x v="5"/>
    <x v="1"/>
    <x v="28"/>
    <n v="16148.3"/>
    <n v="14108.3"/>
    <n v="0.87370000000000003"/>
    <n v="2048.1"/>
    <n v="0.1268"/>
    <n v="13480.8"/>
    <n v="0.83479999999999999"/>
    <n v="2667.5"/>
    <n v="0.16520000000000001"/>
    <x v="0"/>
    <n v="-8.1000000000003638"/>
  </r>
  <r>
    <n v="75"/>
    <s v="Bruce Springsteen"/>
    <x v="0"/>
    <x v="0"/>
    <x v="0"/>
    <x v="1"/>
    <x v="1"/>
    <x v="12"/>
    <n v="8927.6"/>
    <n v="8741.2000000000007"/>
    <n v="0.97909999999999997"/>
    <n v="189.7"/>
    <n v="2.12E-2"/>
    <n v="8713.2999999999993"/>
    <n v="0.97599999999999998"/>
    <n v="214.3"/>
    <n v="2.4E-2"/>
    <x v="0"/>
    <n v="-3.3000000000010914"/>
  </r>
  <r>
    <n v="76"/>
    <s v="Bruno Mars"/>
    <x v="0"/>
    <x v="0"/>
    <x v="0"/>
    <x v="5"/>
    <x v="1"/>
    <x v="15"/>
    <n v="56727.1"/>
    <n v="40714"/>
    <n v="0.7177"/>
    <n v="16013.1"/>
    <n v="0.2823"/>
    <n v="33618.1"/>
    <n v="0.59260000000000002"/>
    <n v="23109"/>
    <n v="0.40739999999999998"/>
    <x v="0"/>
    <n v="0"/>
  </r>
  <r>
    <n v="77"/>
    <s v="Bryan Adams"/>
    <x v="0"/>
    <x v="9"/>
    <x v="0"/>
    <x v="1"/>
    <x v="1"/>
    <x v="17"/>
    <n v="7503.2"/>
    <n v="5958.2"/>
    <n v="0.79410000000000003"/>
    <n v="1568.1"/>
    <n v="0.20899999999999999"/>
    <n v="6592.7"/>
    <n v="0.87870000000000004"/>
    <n v="910.5"/>
    <n v="0.12130000000000001"/>
    <x v="0"/>
    <n v="-23.099999999999454"/>
  </r>
  <r>
    <n v="78"/>
    <s v="Bryant Myers"/>
    <x v="0"/>
    <x v="0"/>
    <x v="2"/>
    <x v="4"/>
    <x v="1"/>
    <x v="14"/>
    <n v="12394.6"/>
    <n v="4419.3999999999996"/>
    <n v="0.35659999999999997"/>
    <n v="7981.5"/>
    <n v="0.64390000000000003"/>
    <n v="1528.1"/>
    <n v="0.12330000000000001"/>
    <n v="10866.5"/>
    <n v="0.87670000000000003"/>
    <x v="0"/>
    <n v="-6.2999999999992724"/>
  </r>
  <r>
    <n v="79"/>
    <s v="Bryson Tiller"/>
    <x v="0"/>
    <x v="0"/>
    <x v="0"/>
    <x v="2"/>
    <x v="1"/>
    <x v="3"/>
    <n v="13890.6"/>
    <n v="13739.5"/>
    <n v="0.98909999999999998"/>
    <n v="155.6"/>
    <n v="1.12E-2"/>
    <n v="8915.5"/>
    <n v="0.64180000000000004"/>
    <n v="4975.1000000000004"/>
    <n v="0.35820000000000002"/>
    <x v="0"/>
    <n v="-4.5"/>
  </r>
  <r>
    <n v="80"/>
    <s v="Brytiago"/>
    <x v="0"/>
    <x v="0"/>
    <x v="2"/>
    <x v="4"/>
    <x v="1"/>
    <x v="0"/>
    <n v="7785.3"/>
    <n v="2720.2"/>
    <n v="0.34939999999999999"/>
    <n v="5065.1000000000004"/>
    <n v="0.65059999999999996"/>
    <n v="69.3"/>
    <n v="8.8999999999999999E-3"/>
    <n v="7716"/>
    <n v="0.99109999999999998"/>
    <x v="0"/>
    <n v="0"/>
  </r>
  <r>
    <n v="81"/>
    <s v="BTS"/>
    <x v="0"/>
    <x v="16"/>
    <x v="7"/>
    <x v="15"/>
    <x v="0"/>
    <x v="20"/>
    <n v="53308.9"/>
    <n v="47969.9"/>
    <n v="0.89980000000000004"/>
    <n v="5339"/>
    <n v="0.1002"/>
    <n v="44114.400000000001"/>
    <n v="0.82750000000000001"/>
    <n v="9194.5"/>
    <n v="0.17249999999999999"/>
    <x v="0"/>
    <n v="0"/>
  </r>
  <r>
    <n v="82"/>
    <s v="Burna Boy"/>
    <x v="0"/>
    <x v="18"/>
    <x v="0"/>
    <x v="18"/>
    <x v="1"/>
    <x v="19"/>
    <n v="10290.6"/>
    <n v="2289.1999999999998"/>
    <n v="0.2225"/>
    <n v="8003.8"/>
    <n v="0.77780000000000005"/>
    <n v="4395.8"/>
    <n v="0.42720000000000002"/>
    <n v="5894.8"/>
    <n v="0.57279999999999998"/>
    <x v="0"/>
    <n v="-2.3999999999996362"/>
  </r>
  <r>
    <n v="83"/>
    <s v="CÃ©line Dion"/>
    <x v="2"/>
    <x v="9"/>
    <x v="8"/>
    <x v="5"/>
    <x v="1"/>
    <x v="33"/>
    <n v="7543.1"/>
    <n v="7093.1"/>
    <n v="0.94030000000000002"/>
    <n v="450"/>
    <n v="5.9700000000000003E-2"/>
    <n v="6268.7"/>
    <n v="0.83109999999999995"/>
    <n v="1274.4000000000001"/>
    <n v="0.16889999999999999"/>
    <x v="0"/>
    <n v="0"/>
  </r>
  <r>
    <n v="84"/>
    <s v="Calibre 50"/>
    <x v="0"/>
    <x v="7"/>
    <x v="2"/>
    <x v="8"/>
    <x v="0"/>
    <x v="15"/>
    <n v="8433.7999999999993"/>
    <n v="7838.5"/>
    <n v="0.9294"/>
    <n v="603.29999999999995"/>
    <n v="7.1499999999999994E-2"/>
    <n v="7244.3"/>
    <n v="0.85899999999999999"/>
    <n v="1189.5"/>
    <n v="0.14099999999999999"/>
    <x v="0"/>
    <n v="-8"/>
  </r>
  <r>
    <n v="85"/>
    <s v="Calum Scott"/>
    <x v="0"/>
    <x v="1"/>
    <x v="0"/>
    <x v="5"/>
    <x v="1"/>
    <x v="6"/>
    <n v="7192.6"/>
    <n v="4689.2"/>
    <n v="0.65190000000000003"/>
    <n v="2505.3000000000002"/>
    <n v="0.3483"/>
    <n v="3982.2"/>
    <n v="0.55369999999999997"/>
    <n v="3210.4"/>
    <n v="0.44629999999999997"/>
    <x v="0"/>
    <n v="-1.8999999999996362"/>
  </r>
  <r>
    <n v="86"/>
    <s v="Calvin Harris"/>
    <x v="0"/>
    <x v="19"/>
    <x v="0"/>
    <x v="6"/>
    <x v="1"/>
    <x v="1"/>
    <n v="34129.699999999997"/>
    <n v="31846"/>
    <n v="0.93310000000000004"/>
    <n v="2298.3000000000002"/>
    <n v="6.7299999999999999E-2"/>
    <n v="5998.8"/>
    <n v="0.17580000000000001"/>
    <n v="28130.9"/>
    <n v="0.82420000000000004"/>
    <x v="0"/>
    <n v="-14.600000000005821"/>
  </r>
  <r>
    <n v="87"/>
    <s v="Camila Cabello"/>
    <x v="2"/>
    <x v="20"/>
    <x v="0"/>
    <x v="5"/>
    <x v="1"/>
    <x v="19"/>
    <n v="21546.2"/>
    <n v="12365.6"/>
    <n v="0.57389999999999997"/>
    <n v="9186"/>
    <n v="0.42630000000000001"/>
    <n v="6409.3"/>
    <n v="0.29749999999999999"/>
    <n v="15136.9"/>
    <n v="0.70250000000000001"/>
    <x v="0"/>
    <n v="-5.3999999999978172"/>
  </r>
  <r>
    <n v="88"/>
    <s v="Camilo"/>
    <x v="0"/>
    <x v="12"/>
    <x v="2"/>
    <x v="5"/>
    <x v="1"/>
    <x v="1"/>
    <n v="13994.1"/>
    <n v="8290.1"/>
    <n v="0.59240000000000004"/>
    <n v="5703.9"/>
    <n v="0.40760000000000002"/>
    <n v="3475.3"/>
    <n v="0.24829999999999999"/>
    <n v="10518.8"/>
    <n v="0.75170000000000003"/>
    <x v="0"/>
    <n v="0.1000000000003638"/>
  </r>
  <r>
    <n v="89"/>
    <s v="CarÃ­n LeÃ³n"/>
    <x v="0"/>
    <x v="7"/>
    <x v="2"/>
    <x v="8"/>
    <x v="1"/>
    <x v="15"/>
    <n v="16969.400000000001"/>
    <n v="10480.799999999999"/>
    <n v="0.61760000000000004"/>
    <n v="6497.7"/>
    <n v="0.38290000000000002"/>
    <n v="7429.1"/>
    <n v="0.43780000000000002"/>
    <n v="9540.2999999999993"/>
    <n v="0.56220000000000003"/>
    <x v="0"/>
    <n v="-9.0999999999985448"/>
  </r>
  <r>
    <n v="90"/>
    <s v="Cardi B"/>
    <x v="2"/>
    <x v="0"/>
    <x v="0"/>
    <x v="0"/>
    <x v="1"/>
    <x v="14"/>
    <n v="22494.9"/>
    <n v="10833.6"/>
    <n v="0.48159999999999997"/>
    <n v="11666.6"/>
    <n v="0.51859999999999995"/>
    <n v="4407.8"/>
    <n v="0.19589999999999999"/>
    <n v="18087.099999999999"/>
    <n v="0.80410000000000004"/>
    <x v="0"/>
    <n v="-5.2999999999992724"/>
  </r>
  <r>
    <n v="91"/>
    <s v="Cartel De Santa"/>
    <x v="0"/>
    <x v="7"/>
    <x v="2"/>
    <x v="0"/>
    <x v="0"/>
    <x v="22"/>
    <n v="9107.5"/>
    <n v="8630.9"/>
    <n v="0.94769999999999999"/>
    <n v="487.3"/>
    <n v="5.3499999999999999E-2"/>
    <n v="5817.4"/>
    <n v="0.63870000000000005"/>
    <n v="3290.1"/>
    <n v="0.36130000000000001"/>
    <x v="0"/>
    <n v="-10.699999999998909"/>
  </r>
  <r>
    <n v="92"/>
    <s v="Central Cee"/>
    <x v="0"/>
    <x v="1"/>
    <x v="0"/>
    <x v="0"/>
    <x v="1"/>
    <x v="0"/>
    <n v="10095.5"/>
    <n v="6587"/>
    <n v="0.65249999999999997"/>
    <n v="3508.5"/>
    <n v="0.34749999999999998"/>
    <n v="5050.8999999999996"/>
    <n v="0.50029999999999997"/>
    <n v="5044.6000000000004"/>
    <n v="0.49969999999999998"/>
    <x v="0"/>
    <n v="0"/>
  </r>
  <r>
    <n v="93"/>
    <s v="Chance the Rapper"/>
    <x v="0"/>
    <x v="0"/>
    <x v="0"/>
    <x v="0"/>
    <x v="1"/>
    <x v="19"/>
    <n v="11475.1"/>
    <n v="3956.3"/>
    <n v="0.3448"/>
    <n v="7518.7"/>
    <n v="0.6552"/>
    <n v="545.70000000000005"/>
    <n v="4.7600000000000003E-2"/>
    <n v="10929.4"/>
    <n v="0.95240000000000002"/>
    <x v="0"/>
    <n v="0.1000000000003638"/>
  </r>
  <r>
    <n v="94"/>
    <s v="Chappell Roan"/>
    <x v="2"/>
    <x v="0"/>
    <x v="0"/>
    <x v="5"/>
    <x v="1"/>
    <x v="5"/>
    <n v="8382.9"/>
    <n v="8387.7999999999993"/>
    <n v="1.0005999999999999"/>
    <n v="0"/>
    <n v="0"/>
    <n v="8380.2999999999993"/>
    <n v="0.99970000000000003"/>
    <n v="2.6"/>
    <n v="2.9999999999999997E-4"/>
    <x v="1"/>
    <n v="-4.8999999999996362"/>
  </r>
  <r>
    <n v="95"/>
    <s v="Charli xcx"/>
    <x v="2"/>
    <x v="1"/>
    <x v="0"/>
    <x v="5"/>
    <x v="1"/>
    <x v="11"/>
    <n v="14544.4"/>
    <n v="10175.299999999999"/>
    <n v="0.6996"/>
    <n v="4376"/>
    <n v="0.3009"/>
    <n v="6747.8"/>
    <n v="0.46389999999999998"/>
    <n v="7796.6"/>
    <n v="0.53610000000000002"/>
    <x v="0"/>
    <n v="-6.8999999999996362"/>
  </r>
  <r>
    <n v="96"/>
    <s v="Charlie Puth"/>
    <x v="0"/>
    <x v="0"/>
    <x v="0"/>
    <x v="5"/>
    <x v="1"/>
    <x v="14"/>
    <n v="18309.3"/>
    <n v="14642.3"/>
    <n v="0.79969999999999997"/>
    <n v="3673.3"/>
    <n v="0.2006"/>
    <n v="8613.7000000000007"/>
    <n v="0.47049999999999997"/>
    <n v="9695.6"/>
    <n v="0.52949999999999997"/>
    <x v="0"/>
    <n v="-6.2999999999992724"/>
  </r>
  <r>
    <n v="97"/>
    <s v="Chase Atlantic"/>
    <x v="0"/>
    <x v="2"/>
    <x v="0"/>
    <x v="2"/>
    <x v="0"/>
    <x v="0"/>
    <n v="9513"/>
    <n v="9329.2999999999993"/>
    <n v="0.98070000000000002"/>
    <n v="185.8"/>
    <n v="1.95E-2"/>
    <n v="8793"/>
    <n v="0.92430000000000001"/>
    <n v="720"/>
    <n v="7.5700000000000003E-2"/>
    <x v="0"/>
    <n v="-2.0999999999985448"/>
  </r>
  <r>
    <n v="98"/>
    <s v="Chencho Corleone"/>
    <x v="0"/>
    <x v="0"/>
    <x v="2"/>
    <x v="4"/>
    <x v="1"/>
    <x v="34"/>
    <n v="10776.2"/>
    <n v="10712.5"/>
    <n v="0.99409999999999998"/>
    <n v="63.9"/>
    <n v="5.8999999999999999E-3"/>
    <n v="291.89999999999998"/>
    <n v="2.7099999999999999E-2"/>
    <n v="10484.299999999999"/>
    <n v="0.97289999999999999"/>
    <x v="0"/>
    <n v="-0.19999999999890861"/>
  </r>
  <r>
    <n v="99"/>
    <s v="Childish Gambino"/>
    <x v="0"/>
    <x v="0"/>
    <x v="0"/>
    <x v="0"/>
    <x v="1"/>
    <x v="11"/>
    <n v="13281.8"/>
    <n v="12309.2"/>
    <n v="0.92679999999999996"/>
    <n v="978.1"/>
    <n v="7.3599999999999999E-2"/>
    <n v="11171.3"/>
    <n v="0.84109999999999996"/>
    <n v="2110.5"/>
    <n v="0.15890000000000001"/>
    <x v="0"/>
    <n v="-5.500000000001819"/>
  </r>
  <r>
    <n v="100"/>
    <s v="Chris Brown"/>
    <x v="0"/>
    <x v="0"/>
    <x v="0"/>
    <x v="2"/>
    <x v="1"/>
    <x v="21"/>
    <n v="43963.8"/>
    <n v="24455.7"/>
    <n v="0.55630000000000002"/>
    <n v="19523.900000000001"/>
    <n v="0.44409999999999999"/>
    <n v="12219.3"/>
    <n v="0.27789999999999998"/>
    <n v="31744.5"/>
    <n v="0.72209999999999996"/>
    <x v="0"/>
    <n v="-15.80000000000291"/>
  </r>
  <r>
    <n v="101"/>
    <s v="Chris Stapleton"/>
    <x v="0"/>
    <x v="0"/>
    <x v="0"/>
    <x v="19"/>
    <x v="1"/>
    <x v="14"/>
    <n v="11678.7"/>
    <n v="9802.2000000000007"/>
    <n v="0.83930000000000005"/>
    <n v="1883.1"/>
    <n v="0.16120000000000001"/>
    <n v="9721.7999999999993"/>
    <n v="0.83240000000000003"/>
    <n v="1956.9"/>
    <n v="0.1676"/>
    <x v="0"/>
    <n v="-6.6000000000003638"/>
  </r>
  <r>
    <n v="102"/>
    <s v="Christian Nodal"/>
    <x v="0"/>
    <x v="7"/>
    <x v="2"/>
    <x v="8"/>
    <x v="1"/>
    <x v="6"/>
    <n v="13503.4"/>
    <n v="9602.2999999999993"/>
    <n v="0.71109999999999995"/>
    <n v="3932.5"/>
    <n v="0.29120000000000001"/>
    <n v="8044.7"/>
    <n v="0.5958"/>
    <n v="5458.7"/>
    <n v="0.4042"/>
    <x v="0"/>
    <n v="-31.399999999999636"/>
  </r>
  <r>
    <n v="103"/>
    <s v="Christina Aguilera"/>
    <x v="2"/>
    <x v="0"/>
    <x v="0"/>
    <x v="5"/>
    <x v="1"/>
    <x v="34"/>
    <n v="11060.5"/>
    <n v="6055.9"/>
    <n v="0.54749999999999999"/>
    <n v="5004.6000000000004"/>
    <n v="0.45250000000000001"/>
    <n v="4661.1000000000004"/>
    <n v="0.4214"/>
    <n v="6399.4"/>
    <n v="0.5786"/>
    <x v="0"/>
    <n v="0"/>
  </r>
  <r>
    <n v="104"/>
    <s v="Cigarettes After Sex"/>
    <x v="1"/>
    <x v="0"/>
    <x v="0"/>
    <x v="13"/>
    <x v="0"/>
    <x v="11"/>
    <n v="13287"/>
    <n v="13294.9"/>
    <n v="1.0005999999999999"/>
    <n v="0"/>
    <n v="0"/>
    <n v="13287"/>
    <n v="1"/>
    <n v="0"/>
    <n v="0"/>
    <x v="1"/>
    <n v="-7.8999999999996362"/>
  </r>
  <r>
    <n v="105"/>
    <s v="Clairo"/>
    <x v="2"/>
    <x v="0"/>
    <x v="0"/>
    <x v="5"/>
    <x v="1"/>
    <x v="19"/>
    <n v="8831"/>
    <n v="6995.1"/>
    <n v="0.79210000000000003"/>
    <n v="1840.3"/>
    <n v="0.2084"/>
    <n v="6603.2"/>
    <n v="0.74770000000000003"/>
    <n v="2227.8000000000002"/>
    <n v="0.25230000000000002"/>
    <x v="0"/>
    <n v="-4.3999999999996362"/>
  </r>
  <r>
    <n v="106"/>
    <s v="Clean Bandit"/>
    <x v="1"/>
    <x v="1"/>
    <x v="0"/>
    <x v="5"/>
    <x v="0"/>
    <x v="19"/>
    <n v="10711.2"/>
    <n v="10381.4"/>
    <n v="0.96919999999999995"/>
    <n v="333.5"/>
    <n v="3.1099999999999999E-2"/>
    <n v="73.400000000000006"/>
    <n v="6.8999999999999999E-3"/>
    <n v="10637.8"/>
    <n v="0.99309999999999998"/>
    <x v="0"/>
    <n v="-3.6999999999989086"/>
  </r>
  <r>
    <n v="107"/>
    <s v="Coldplay"/>
    <x v="0"/>
    <x v="1"/>
    <x v="0"/>
    <x v="1"/>
    <x v="0"/>
    <x v="34"/>
    <n v="46720.4"/>
    <n v="42837.1"/>
    <n v="0.91690000000000005"/>
    <n v="3901.3"/>
    <n v="8.3500000000000005E-2"/>
    <n v="38535.199999999997"/>
    <n v="0.82479999999999998"/>
    <n v="8185.2"/>
    <n v="0.17519999999999999"/>
    <x v="0"/>
    <n v="-18"/>
  </r>
  <r>
    <n v="108"/>
    <s v="Conan Gray"/>
    <x v="0"/>
    <x v="0"/>
    <x v="0"/>
    <x v="5"/>
    <x v="1"/>
    <x v="5"/>
    <n v="10313.5"/>
    <n v="10145.1"/>
    <n v="0.98370000000000002"/>
    <n v="172"/>
    <n v="1.67E-2"/>
    <n v="10141.5"/>
    <n v="0.98329999999999995"/>
    <n v="172"/>
    <n v="1.67E-2"/>
    <x v="0"/>
    <n v="-3.6000000000003638"/>
  </r>
  <r>
    <n v="109"/>
    <s v="Creedence Clearwater Revival"/>
    <x v="0"/>
    <x v="0"/>
    <x v="0"/>
    <x v="1"/>
    <x v="0"/>
    <x v="35"/>
    <n v="11314.2"/>
    <n v="11274.4"/>
    <n v="0.99650000000000005"/>
    <n v="44.7"/>
    <n v="4.0000000000000001E-3"/>
    <n v="11264.9"/>
    <n v="0.99560000000000004"/>
    <n v="49.3"/>
    <n v="4.4000000000000003E-3"/>
    <x v="0"/>
    <n v="-4.8999999999996362"/>
  </r>
  <r>
    <n v="110"/>
    <s v="Cris MJ"/>
    <x v="0"/>
    <x v="21"/>
    <x v="2"/>
    <x v="4"/>
    <x v="1"/>
    <x v="25"/>
    <n v="11566.2"/>
    <n v="7224.2"/>
    <n v="0.62460000000000004"/>
    <n v="4349.3999999999996"/>
    <n v="0.376"/>
    <n v="4663"/>
    <n v="0.4032"/>
    <n v="6903.2"/>
    <n v="0.5968"/>
    <x v="0"/>
    <n v="-7.3999999999978172"/>
  </r>
  <r>
    <n v="111"/>
    <s v="DaBaby"/>
    <x v="0"/>
    <x v="0"/>
    <x v="0"/>
    <x v="0"/>
    <x v="1"/>
    <x v="14"/>
    <n v="19977.5"/>
    <n v="9365.1"/>
    <n v="0.46879999999999999"/>
    <n v="10617.1"/>
    <n v="0.53149999999999997"/>
    <n v="5320.2"/>
    <n v="0.26629999999999998"/>
    <n v="14657.3"/>
    <n v="0.73370000000000002"/>
    <x v="0"/>
    <n v="-4.7000000000007276"/>
  </r>
  <r>
    <n v="112"/>
    <s v="Daddy Yankee"/>
    <x v="0"/>
    <x v="0"/>
    <x v="2"/>
    <x v="4"/>
    <x v="1"/>
    <x v="2"/>
    <n v="41405.4"/>
    <n v="19772.099999999999"/>
    <n v="0.47749999999999998"/>
    <n v="21650"/>
    <n v="0.52290000000000003"/>
    <n v="10692.8"/>
    <n v="0.25819999999999999"/>
    <n v="30712.6"/>
    <n v="0.74180000000000001"/>
    <x v="0"/>
    <n v="-16.69999999999709"/>
  </r>
  <r>
    <n v="113"/>
    <s v="Daft Punk"/>
    <x v="0"/>
    <x v="22"/>
    <x v="0"/>
    <x v="6"/>
    <x v="0"/>
    <x v="36"/>
    <n v="17316.599999999999"/>
    <n v="10309.700000000001"/>
    <n v="0.59540000000000004"/>
    <n v="7013.9"/>
    <n v="0.40500000000000003"/>
    <n v="6283"/>
    <n v="0.36280000000000001"/>
    <n v="11033.6"/>
    <n v="0.63719999999999999"/>
    <x v="0"/>
    <n v="-7"/>
  </r>
  <r>
    <n v="114"/>
    <s v="Dalex"/>
    <x v="0"/>
    <x v="0"/>
    <x v="2"/>
    <x v="4"/>
    <x v="1"/>
    <x v="0"/>
    <n v="9948.7000000000007"/>
    <n v="4105.3"/>
    <n v="0.41260000000000002"/>
    <n v="5843.4"/>
    <n v="0.58740000000000003"/>
    <n v="471.7"/>
    <n v="4.7399999999999998E-2"/>
    <n v="9477"/>
    <n v="0.9526"/>
    <x v="0"/>
    <n v="0"/>
  </r>
  <r>
    <n v="115"/>
    <s v="Daniel Caesar"/>
    <x v="0"/>
    <x v="9"/>
    <x v="0"/>
    <x v="2"/>
    <x v="1"/>
    <x v="0"/>
    <n v="15876.2"/>
    <n v="12905.1"/>
    <n v="0.81289999999999996"/>
    <n v="2982.4"/>
    <n v="0.18790000000000001"/>
    <n v="7353.2"/>
    <n v="0.4632"/>
    <n v="8523"/>
    <n v="0.53680000000000005"/>
    <x v="0"/>
    <n v="-11.299999999999272"/>
  </r>
  <r>
    <n v="116"/>
    <s v="Danny Ocean"/>
    <x v="0"/>
    <x v="23"/>
    <x v="2"/>
    <x v="7"/>
    <x v="1"/>
    <x v="37"/>
    <n v="10234.299999999999"/>
    <n v="8102.5"/>
    <n v="0.79169999999999996"/>
    <n v="2138.3000000000002"/>
    <n v="0.2089"/>
    <n v="6955"/>
    <n v="0.67959999999999998"/>
    <n v="3279.3"/>
    <n v="0.32040000000000002"/>
    <x v="0"/>
    <n v="-6.5"/>
  </r>
  <r>
    <n v="117"/>
    <s v="Darell"/>
    <x v="0"/>
    <x v="0"/>
    <x v="2"/>
    <x v="4"/>
    <x v="1"/>
    <x v="15"/>
    <n v="10772"/>
    <n v="595.6"/>
    <n v="5.5300000000000002E-2"/>
    <n v="10180.6"/>
    <n v="0.94510000000000005"/>
    <n v="689.2"/>
    <n v="6.4000000000000001E-2"/>
    <n v="10082.799999999999"/>
    <n v="0.93600000000000005"/>
    <x v="0"/>
    <n v="-4.2000000000007276"/>
  </r>
  <r>
    <n v="118"/>
    <s v="Dave"/>
    <x v="0"/>
    <x v="1"/>
    <x v="0"/>
    <x v="0"/>
    <x v="1"/>
    <x v="14"/>
    <n v="8715.2000000000007"/>
    <n v="7648.8"/>
    <n v="0.87760000000000005"/>
    <n v="1071.5999999999999"/>
    <n v="0.123"/>
    <n v="2526.6999999999998"/>
    <n v="0.28989999999999999"/>
    <n v="6188.5"/>
    <n v="0.71009999999999995"/>
    <x v="0"/>
    <n v="-5.1999999999989086"/>
  </r>
  <r>
    <n v="119"/>
    <s v="David Bowie"/>
    <x v="0"/>
    <x v="1"/>
    <x v="0"/>
    <x v="1"/>
    <x v="1"/>
    <x v="38"/>
    <n v="10696.6"/>
    <n v="8379.6"/>
    <n v="0.78339999999999999"/>
    <n v="2317"/>
    <n v="0.21659999999999999"/>
    <n v="8204.5"/>
    <n v="0.76700000000000002"/>
    <n v="2492.1"/>
    <n v="0.23300000000000001"/>
    <x v="0"/>
    <n v="0"/>
  </r>
  <r>
    <n v="120"/>
    <s v="David Guetta"/>
    <x v="0"/>
    <x v="22"/>
    <x v="0"/>
    <x v="6"/>
    <x v="1"/>
    <x v="39"/>
    <n v="42059.5"/>
    <n v="30750.799999999999"/>
    <n v="0.73109999999999997"/>
    <n v="11325.3"/>
    <n v="0.26929999999999998"/>
    <n v="406.8"/>
    <n v="9.7000000000000003E-3"/>
    <n v="41652.699999999997"/>
    <n v="0.99029999999999996"/>
    <x v="0"/>
    <n v="-16.599999999998545"/>
  </r>
  <r>
    <n v="121"/>
    <s v="De La Ghetto"/>
    <x v="0"/>
    <x v="0"/>
    <x v="2"/>
    <x v="4"/>
    <x v="1"/>
    <x v="8"/>
    <n v="10352.799999999999"/>
    <n v="1937.7"/>
    <n v="0.18720000000000001"/>
    <n v="8415.1"/>
    <n v="0.81279999999999997"/>
    <n v="410.2"/>
    <n v="3.9600000000000003E-2"/>
    <n v="9942.6"/>
    <n v="0.96040000000000003"/>
    <x v="0"/>
    <n v="0"/>
  </r>
  <r>
    <n v="122"/>
    <s v="Deftones"/>
    <x v="0"/>
    <x v="0"/>
    <x v="0"/>
    <x v="11"/>
    <x v="0"/>
    <x v="30"/>
    <n v="8848.2999999999993"/>
    <n v="8855.1"/>
    <n v="1.0007999999999999"/>
    <n v="0"/>
    <n v="0"/>
    <n v="8823.4"/>
    <n v="0.99719999999999998"/>
    <n v="24.9"/>
    <n v="2.8E-3"/>
    <x v="1"/>
    <n v="-6.8000000000010914"/>
  </r>
  <r>
    <n v="123"/>
    <s v="Demi Lovato"/>
    <x v="2"/>
    <x v="0"/>
    <x v="0"/>
    <x v="5"/>
    <x v="1"/>
    <x v="11"/>
    <n v="17119.5"/>
    <n v="11625.6"/>
    <n v="0.67910000000000004"/>
    <n v="5498.6"/>
    <n v="0.32119999999999999"/>
    <n v="10006"/>
    <n v="0.58450000000000002"/>
    <n v="7113.5"/>
    <n v="0.41549999999999998"/>
    <x v="0"/>
    <n v="-4.7000000000007276"/>
  </r>
  <r>
    <n v="124"/>
    <s v="Die drei ???"/>
    <x v="0"/>
    <x v="14"/>
    <x v="6"/>
    <x v="20"/>
    <x v="0"/>
    <x v="40"/>
    <n v="24607"/>
    <n v="24525.4"/>
    <n v="0.99670000000000003"/>
    <n v="81.599999999999994"/>
    <n v="3.3E-3"/>
    <n v="24410.799999999999"/>
    <n v="0.99199999999999999"/>
    <n v="196.2"/>
    <n v="8.0000000000000002E-3"/>
    <x v="0"/>
    <n v="0"/>
  </r>
  <r>
    <n v="125"/>
    <s v="Diplo"/>
    <x v="0"/>
    <x v="0"/>
    <x v="0"/>
    <x v="6"/>
    <x v="1"/>
    <x v="22"/>
    <n v="20670.8"/>
    <n v="5352.4"/>
    <n v="0.25890000000000002"/>
    <n v="15318.4"/>
    <n v="0.74109999999999998"/>
    <n v="32.5"/>
    <n v="1.6000000000000001E-3"/>
    <n v="20638.3"/>
    <n v="0.99839999999999995"/>
    <x v="0"/>
    <n v="0"/>
  </r>
  <r>
    <n v="126"/>
    <s v="Dire Straits"/>
    <x v="0"/>
    <x v="1"/>
    <x v="0"/>
    <x v="1"/>
    <x v="0"/>
    <x v="41"/>
    <n v="7891.3"/>
    <n v="7595.8"/>
    <n v="0.96260000000000001"/>
    <n v="298.7"/>
    <n v="3.7900000000000003E-2"/>
    <n v="7890.8"/>
    <n v="0.99990000000000001"/>
    <n v="0.5"/>
    <n v="1E-4"/>
    <x v="0"/>
    <n v="-3.1999999999998181"/>
  </r>
  <r>
    <n v="127"/>
    <s v="Disclosure"/>
    <x v="0"/>
    <x v="1"/>
    <x v="0"/>
    <x v="6"/>
    <x v="0"/>
    <x v="15"/>
    <n v="7787.8"/>
    <n v="5988.8"/>
    <n v="0.76900000000000002"/>
    <n v="1801.6"/>
    <n v="0.23130000000000001"/>
    <n v="801"/>
    <n v="0.10290000000000001"/>
    <n v="6986.8"/>
    <n v="0.89710000000000001"/>
    <x v="0"/>
    <n v="-2.5999999999994543"/>
  </r>
  <r>
    <n v="128"/>
    <s v="Disney"/>
    <x v="1"/>
    <x v="0"/>
    <x v="0"/>
    <x v="21"/>
    <x v="0"/>
    <x v="42"/>
    <n v="22236.1"/>
    <n v="287.8"/>
    <n v="1.29E-2"/>
    <n v="21966.6"/>
    <n v="0.9879"/>
    <n v="0"/>
    <n v="0"/>
    <n v="22236.1"/>
    <n v="1"/>
    <x v="0"/>
    <n v="-18.299999999999272"/>
  </r>
  <r>
    <n v="129"/>
    <s v="Disturbed"/>
    <x v="0"/>
    <x v="0"/>
    <x v="0"/>
    <x v="11"/>
    <x v="0"/>
    <x v="43"/>
    <n v="7612.3"/>
    <n v="7614.9"/>
    <n v="1.0003"/>
    <n v="0"/>
    <n v="0"/>
    <n v="6849.1"/>
    <n v="0.89970000000000006"/>
    <n v="763.2"/>
    <n v="0.1003"/>
    <x v="1"/>
    <n v="-2.5999999999994543"/>
  </r>
  <r>
    <n v="130"/>
    <s v="DJ Khaled"/>
    <x v="0"/>
    <x v="0"/>
    <x v="0"/>
    <x v="0"/>
    <x v="1"/>
    <x v="24"/>
    <n v="11196"/>
    <n v="10287.700000000001"/>
    <n v="0.91890000000000005"/>
    <n v="910.9"/>
    <n v="8.14E-2"/>
    <n v="656.6"/>
    <n v="5.8599999999999999E-2"/>
    <n v="10539.4"/>
    <n v="0.94140000000000001"/>
    <x v="0"/>
    <n v="-2.6000000000003638"/>
  </r>
  <r>
    <n v="131"/>
    <s v="DJ Luian"/>
    <x v="0"/>
    <x v="0"/>
    <x v="2"/>
    <x v="4"/>
    <x v="1"/>
    <x v="15"/>
    <n v="8801.6"/>
    <n v="1220.5999999999999"/>
    <n v="0.13869999999999999"/>
    <n v="7581"/>
    <n v="0.86129999999999995"/>
    <n v="0"/>
    <n v="0"/>
    <n v="8801.6"/>
    <n v="1"/>
    <x v="0"/>
    <n v="0"/>
  </r>
  <r>
    <n v="132"/>
    <s v="DJ Snake"/>
    <x v="0"/>
    <x v="22"/>
    <x v="0"/>
    <x v="6"/>
    <x v="1"/>
    <x v="20"/>
    <n v="15921.1"/>
    <n v="12030.1"/>
    <n v="0.75560000000000005"/>
    <n v="3896.3"/>
    <n v="0.2447"/>
    <n v="527.5"/>
    <n v="3.3099999999999997E-2"/>
    <n v="15393.6"/>
    <n v="0.96689999999999998"/>
    <x v="0"/>
    <n v="-5.3000000000010914"/>
  </r>
  <r>
    <n v="133"/>
    <s v="Doja Cat"/>
    <x v="2"/>
    <x v="0"/>
    <x v="0"/>
    <x v="5"/>
    <x v="1"/>
    <x v="19"/>
    <n v="31214.3"/>
    <n v="25574.2"/>
    <n v="0.81930000000000003"/>
    <n v="5650.9"/>
    <n v="0.18099999999999999"/>
    <n v="18797.099999999999"/>
    <n v="0.60219999999999996"/>
    <n v="12417.2"/>
    <n v="0.39779999999999999"/>
    <x v="0"/>
    <n v="-10.799999999999272"/>
  </r>
  <r>
    <n v="134"/>
    <s v="Dominic Fike"/>
    <x v="0"/>
    <x v="0"/>
    <x v="0"/>
    <x v="13"/>
    <x v="1"/>
    <x v="5"/>
    <n v="7485.1"/>
    <n v="6757.7"/>
    <n v="0.90280000000000005"/>
    <n v="735.7"/>
    <n v="9.8299999999999998E-2"/>
    <n v="6205.8"/>
    <n v="0.82909999999999995"/>
    <n v="1279.3"/>
    <n v="0.1709"/>
    <x v="0"/>
    <n v="-8.2999999999992724"/>
  </r>
  <r>
    <n v="135"/>
    <s v="Don Omar"/>
    <x v="0"/>
    <x v="0"/>
    <x v="2"/>
    <x v="4"/>
    <x v="1"/>
    <x v="4"/>
    <n v="18580.599999999999"/>
    <n v="14990.8"/>
    <n v="0.80679999999999996"/>
    <n v="3601.2"/>
    <n v="0.1938"/>
    <n v="8321.9"/>
    <n v="0.44790000000000002"/>
    <n v="10258.700000000001"/>
    <n v="0.55210000000000004"/>
    <x v="0"/>
    <n v="-11.400000000001455"/>
  </r>
  <r>
    <n v="136"/>
    <s v="Don Toliver"/>
    <x v="0"/>
    <x v="0"/>
    <x v="0"/>
    <x v="0"/>
    <x v="1"/>
    <x v="5"/>
    <n v="19830.5"/>
    <n v="12351.9"/>
    <n v="0.62290000000000001"/>
    <n v="7494"/>
    <n v="0.37790000000000001"/>
    <n v="8302.6"/>
    <n v="0.41870000000000002"/>
    <n v="11527.9"/>
    <n v="0.58130000000000004"/>
    <x v="0"/>
    <n v="-15.400000000001455"/>
  </r>
  <r>
    <n v="137"/>
    <s v="Dr. Dre"/>
    <x v="0"/>
    <x v="0"/>
    <x v="0"/>
    <x v="0"/>
    <x v="1"/>
    <x v="32"/>
    <n v="13320.3"/>
    <n v="8568.7000000000007"/>
    <n v="0.64329999999999998"/>
    <n v="4756.2"/>
    <n v="0.35709999999999997"/>
    <n v="464.4"/>
    <n v="3.49E-2"/>
    <n v="12855.9"/>
    <n v="0.96509999999999996"/>
    <x v="0"/>
    <n v="-4.6000000000021828"/>
  </r>
  <r>
    <n v="138"/>
    <s v="Drake"/>
    <x v="0"/>
    <x v="9"/>
    <x v="0"/>
    <x v="0"/>
    <x v="1"/>
    <x v="24"/>
    <n v="137492.1"/>
    <n v="94851.1"/>
    <n v="0.68989999999999996"/>
    <n v="42640.9"/>
    <n v="0.31009999999999999"/>
    <n v="53323.9"/>
    <n v="0.38779999999999998"/>
    <n v="84168.2"/>
    <n v="0.61219999999999997"/>
    <x v="0"/>
    <n v="0.10000000000582077"/>
  </r>
  <r>
    <n v="139"/>
    <s v="Dua Lipa"/>
    <x v="2"/>
    <x v="1"/>
    <x v="0"/>
    <x v="5"/>
    <x v="1"/>
    <x v="14"/>
    <n v="41944.1"/>
    <n v="28269.7"/>
    <n v="0.67400000000000004"/>
    <n v="13687.6"/>
    <n v="0.32629999999999998"/>
    <n v="23133.7"/>
    <n v="0.55149999999999999"/>
    <n v="18810.400000000001"/>
    <n v="0.44850000000000001"/>
    <x v="0"/>
    <n v="-13.200000000004366"/>
  </r>
  <r>
    <n v="140"/>
    <s v="Duki"/>
    <x v="0"/>
    <x v="15"/>
    <x v="2"/>
    <x v="0"/>
    <x v="1"/>
    <x v="6"/>
    <n v="15684.7"/>
    <n v="7885.7"/>
    <n v="0.50280000000000002"/>
    <n v="7799"/>
    <n v="0.49719999999999998"/>
    <n v="3430.6"/>
    <n v="0.21870000000000001"/>
    <n v="12254.1"/>
    <n v="0.78129999999999999"/>
    <x v="0"/>
    <n v="0"/>
  </r>
  <r>
    <n v="141"/>
    <s v="Eagles"/>
    <x v="0"/>
    <x v="0"/>
    <x v="0"/>
    <x v="1"/>
    <x v="0"/>
    <x v="9"/>
    <n v="7987.3"/>
    <n v="7990.9"/>
    <n v="1.0004999999999999"/>
    <n v="0"/>
    <n v="0"/>
    <n v="7987.3"/>
    <n v="1"/>
    <n v="0"/>
    <n v="0"/>
    <x v="1"/>
    <n v="-3.5999999999994543"/>
  </r>
  <r>
    <n v="142"/>
    <s v="Ed Sheeran"/>
    <x v="0"/>
    <x v="1"/>
    <x v="0"/>
    <x v="5"/>
    <x v="1"/>
    <x v="3"/>
    <n v="64656.9"/>
    <n v="57704"/>
    <n v="0.89249999999999996"/>
    <n v="6967.8"/>
    <n v="0.10780000000000001"/>
    <n v="46700"/>
    <n v="0.72230000000000005"/>
    <n v="17956.900000000001"/>
    <n v="0.2777"/>
    <x v="0"/>
    <n v="-14.900000000001455"/>
  </r>
  <r>
    <n v="143"/>
    <s v="El Alfa"/>
    <x v="0"/>
    <x v="24"/>
    <x v="2"/>
    <x v="7"/>
    <x v="1"/>
    <x v="11"/>
    <n v="9056.5"/>
    <n v="5112.2"/>
    <n v="0.5645"/>
    <n v="3944.3"/>
    <n v="0.4355"/>
    <n v="561.5"/>
    <n v="6.2E-2"/>
    <n v="8495"/>
    <n v="0.93799999999999994"/>
    <x v="0"/>
    <n v="0"/>
  </r>
  <r>
    <n v="144"/>
    <s v="Eladio Carrion"/>
    <x v="0"/>
    <x v="0"/>
    <x v="2"/>
    <x v="0"/>
    <x v="1"/>
    <x v="5"/>
    <n v="12209.5"/>
    <n v="8937.9"/>
    <n v="0.73199999999999998"/>
    <n v="3281.7"/>
    <n v="0.26879999999999998"/>
    <n v="3226.5"/>
    <n v="0.26429999999999998"/>
    <n v="8983"/>
    <n v="0.73570000000000002"/>
    <x v="0"/>
    <n v="-10.099999999998545"/>
  </r>
  <r>
    <n v="145"/>
    <s v="Ellie Goulding"/>
    <x v="2"/>
    <x v="1"/>
    <x v="0"/>
    <x v="5"/>
    <x v="1"/>
    <x v="37"/>
    <n v="16553.3"/>
    <n v="11362.1"/>
    <n v="0.68640000000000001"/>
    <n v="5197.6000000000004"/>
    <n v="0.314"/>
    <n v="8685.9"/>
    <n v="0.52470000000000006"/>
    <n v="7867.4"/>
    <n v="0.4753"/>
    <x v="0"/>
    <n v="-6.4000000000014552"/>
  </r>
  <r>
    <n v="146"/>
    <s v="Elton John"/>
    <x v="0"/>
    <x v="1"/>
    <x v="0"/>
    <x v="1"/>
    <x v="1"/>
    <x v="44"/>
    <n v="19090.400000000001"/>
    <n v="17435.400000000001"/>
    <n v="0.9133"/>
    <n v="1662.4"/>
    <n v="8.7099999999999997E-2"/>
    <n v="12211.1"/>
    <n v="0.63959999999999995"/>
    <n v="6879.3"/>
    <n v="0.3604"/>
    <x v="0"/>
    <n v="-7.4000000000014552"/>
  </r>
  <r>
    <n v="147"/>
    <s v="Elvis Presley"/>
    <x v="0"/>
    <x v="0"/>
    <x v="0"/>
    <x v="1"/>
    <x v="1"/>
    <x v="45"/>
    <n v="11588.8"/>
    <n v="11545"/>
    <n v="0.99619999999999997"/>
    <n v="47.3"/>
    <n v="4.1000000000000003E-3"/>
    <n v="10653.5"/>
    <n v="0.91930000000000001"/>
    <n v="935.3"/>
    <n v="8.0699999999999994E-2"/>
    <x v="0"/>
    <n v="-3.5"/>
  </r>
  <r>
    <n v="148"/>
    <s v="Eminem"/>
    <x v="0"/>
    <x v="0"/>
    <x v="0"/>
    <x v="0"/>
    <x v="1"/>
    <x v="23"/>
    <n v="64549"/>
    <n v="54466.8"/>
    <n v="0.84379999999999999"/>
    <n v="10100.700000000001"/>
    <n v="0.1565"/>
    <n v="32940"/>
    <n v="0.51029999999999998"/>
    <n v="31609"/>
    <n v="0.48970000000000002"/>
    <x v="0"/>
    <n v="-18.5"/>
  </r>
  <r>
    <n v="149"/>
    <s v="ENHYPEN"/>
    <x v="0"/>
    <x v="16"/>
    <x v="7"/>
    <x v="15"/>
    <x v="0"/>
    <x v="46"/>
    <n v="7486.2"/>
    <n v="7178.8"/>
    <n v="0.95889999999999997"/>
    <n v="328.1"/>
    <n v="4.3799999999999999E-2"/>
    <n v="7290.2"/>
    <n v="0.9738"/>
    <n v="196"/>
    <n v="2.6200000000000001E-2"/>
    <x v="0"/>
    <n v="-20.700000000000728"/>
  </r>
  <r>
    <n v="150"/>
    <s v="Enrique Iglesias"/>
    <x v="0"/>
    <x v="8"/>
    <x v="2"/>
    <x v="7"/>
    <x v="1"/>
    <x v="30"/>
    <n v="12857.9"/>
    <n v="11010.3"/>
    <n v="0.85629999999999995"/>
    <n v="1853"/>
    <n v="0.14410000000000001"/>
    <n v="3301"/>
    <n v="0.25669999999999998"/>
    <n v="9556.9"/>
    <n v="0.74329999999999996"/>
    <x v="0"/>
    <n v="-5.3999999999996362"/>
  </r>
  <r>
    <n v="151"/>
    <s v="Eslabon Armado"/>
    <x v="0"/>
    <x v="0"/>
    <x v="2"/>
    <x v="8"/>
    <x v="0"/>
    <x v="46"/>
    <n v="8063.4"/>
    <n v="5540.4"/>
    <n v="0.68710000000000004"/>
    <n v="2525"/>
    <n v="0.31309999999999999"/>
    <n v="3610.3"/>
    <n v="0.44769999999999999"/>
    <n v="4453.1000000000004"/>
    <n v="0.55230000000000001"/>
    <x v="0"/>
    <n v="-2"/>
  </r>
  <r>
    <n v="152"/>
    <s v="Fall Out Boy"/>
    <x v="0"/>
    <x v="0"/>
    <x v="0"/>
    <x v="1"/>
    <x v="0"/>
    <x v="4"/>
    <n v="14507.7"/>
    <n v="10717.2"/>
    <n v="0.73870000000000002"/>
    <n v="3796.5"/>
    <n v="0.26169999999999999"/>
    <n v="12380.2"/>
    <n v="0.85340000000000005"/>
    <n v="2127.5"/>
    <n v="0.14660000000000001"/>
    <x v="0"/>
    <n v="-6"/>
  </r>
  <r>
    <n v="153"/>
    <s v="Farruko"/>
    <x v="0"/>
    <x v="0"/>
    <x v="2"/>
    <x v="4"/>
    <x v="1"/>
    <x v="37"/>
    <n v="29775.3"/>
    <n v="8548.7000000000007"/>
    <n v="0.28710000000000002"/>
    <n v="21237.200000000001"/>
    <n v="0.71319999999999995"/>
    <n v="4615.8999999999996"/>
    <n v="0.155"/>
    <n v="25159.4"/>
    <n v="0.84499999999999997"/>
    <x v="0"/>
    <n v="-10.600000000002183"/>
  </r>
  <r>
    <n v="154"/>
    <s v="Feid"/>
    <x v="0"/>
    <x v="12"/>
    <x v="2"/>
    <x v="4"/>
    <x v="1"/>
    <x v="14"/>
    <n v="34579.1"/>
    <n v="18725.599999999999"/>
    <n v="0.54149999999999998"/>
    <n v="15774.1"/>
    <n v="0.45619999999999999"/>
    <n v="9877.2999999999993"/>
    <n v="0.28560000000000002"/>
    <n v="24701.8"/>
    <n v="0.71440000000000003"/>
    <x v="0"/>
    <n v="79.400000000001455"/>
  </r>
  <r>
    <n v="155"/>
    <s v="felix jaehn"/>
    <x v="0"/>
    <x v="14"/>
    <x v="0"/>
    <x v="6"/>
    <x v="1"/>
    <x v="20"/>
    <n v="8278.7000000000007"/>
    <n v="4898.7"/>
    <n v="0.5917"/>
    <n v="3389.6"/>
    <n v="0.40939999999999999"/>
    <n v="53.5"/>
    <n v="6.4999999999999997E-3"/>
    <n v="8225.2000000000007"/>
    <n v="0.99350000000000005"/>
    <x v="0"/>
    <n v="-9.5999999999985448"/>
  </r>
  <r>
    <n v="156"/>
    <s v="Fetty Wap"/>
    <x v="0"/>
    <x v="0"/>
    <x v="0"/>
    <x v="0"/>
    <x v="1"/>
    <x v="0"/>
    <n v="8564.5"/>
    <n v="5566.1"/>
    <n v="0.64990000000000003"/>
    <n v="3001.4"/>
    <n v="0.35039999999999999"/>
    <n v="3239"/>
    <n v="0.37819999999999998"/>
    <n v="5325.5"/>
    <n v="0.62180000000000002"/>
    <x v="0"/>
    <n v="-3"/>
  </r>
  <r>
    <n v="157"/>
    <s v="Five Finger Death Punch"/>
    <x v="0"/>
    <x v="0"/>
    <x v="0"/>
    <x v="11"/>
    <x v="0"/>
    <x v="1"/>
    <n v="7326.6"/>
    <n v="1671.1"/>
    <n v="0.2281"/>
    <n v="5664.1"/>
    <n v="0.77310000000000001"/>
    <n v="6816.6"/>
    <n v="0.9304"/>
    <n v="510"/>
    <n v="6.9599999999999995E-2"/>
    <x v="0"/>
    <n v="-8.6000000000003638"/>
  </r>
  <r>
    <n v="158"/>
    <s v="Fleetwood Mac"/>
    <x v="1"/>
    <x v="1"/>
    <x v="0"/>
    <x v="1"/>
    <x v="0"/>
    <x v="38"/>
    <n v="16577.5"/>
    <n v="16577.5"/>
    <n v="1"/>
    <n v="0.4"/>
    <n v="0"/>
    <n v="16567.400000000001"/>
    <n v="0.99939999999999996"/>
    <n v="10.1"/>
    <n v="5.9999999999999995E-4"/>
    <x v="0"/>
    <n v="-0.40000000000145519"/>
  </r>
  <r>
    <n v="159"/>
    <s v="Flo Rida"/>
    <x v="0"/>
    <x v="0"/>
    <x v="0"/>
    <x v="0"/>
    <x v="1"/>
    <x v="1"/>
    <n v="16366.1"/>
    <n v="14784.2"/>
    <n v="0.90329999999999999"/>
    <n v="1492.7"/>
    <n v="9.1200000000000003E-2"/>
    <n v="4359.8"/>
    <n v="0.26640000000000003"/>
    <n v="12006.3"/>
    <n v="0.73360000000000003"/>
    <x v="0"/>
    <n v="89.199999999998909"/>
  </r>
  <r>
    <n v="160"/>
    <s v="Florence + The Machine"/>
    <x v="2"/>
    <x v="1"/>
    <x v="0"/>
    <x v="1"/>
    <x v="0"/>
    <x v="37"/>
    <n v="9401"/>
    <n v="8691.5"/>
    <n v="0.92449999999999999"/>
    <n v="712.9"/>
    <n v="7.5800000000000006E-2"/>
    <n v="8081.2"/>
    <n v="0.85960000000000003"/>
    <n v="1319.8"/>
    <n v="0.1404"/>
    <x v="0"/>
    <n v="-3.3999999999996362"/>
  </r>
  <r>
    <n v="161"/>
    <s v="Florida Georgia Line"/>
    <x v="0"/>
    <x v="0"/>
    <x v="0"/>
    <x v="19"/>
    <x v="0"/>
    <x v="15"/>
    <n v="9869.2999999999993"/>
    <n v="6437"/>
    <n v="0.6522"/>
    <n v="3432.3"/>
    <n v="0.3478"/>
    <n v="4558.7"/>
    <n v="0.46189999999999998"/>
    <n v="5310.6"/>
    <n v="0.53810000000000002"/>
    <x v="0"/>
    <n v="0"/>
  </r>
  <r>
    <n v="162"/>
    <s v="Foo Fighters"/>
    <x v="0"/>
    <x v="0"/>
    <x v="0"/>
    <x v="1"/>
    <x v="0"/>
    <x v="36"/>
    <n v="10571.1"/>
    <n v="10570.2"/>
    <n v="0.99990000000000001"/>
    <n v="4.5"/>
    <n v="4.0000000000000002E-4"/>
    <n v="10555.6"/>
    <n v="0.99850000000000005"/>
    <n v="15.5"/>
    <n v="1.5E-3"/>
    <x v="0"/>
    <n v="-3.6000000000003638"/>
  </r>
  <r>
    <n v="163"/>
    <s v="Frank Ocean"/>
    <x v="0"/>
    <x v="0"/>
    <x v="0"/>
    <x v="2"/>
    <x v="1"/>
    <x v="3"/>
    <n v="24807.4"/>
    <n v="20425.400000000001"/>
    <n v="0.82340000000000002"/>
    <n v="4391.5"/>
    <n v="0.17699999999999999"/>
    <n v="18809.3"/>
    <n v="0.75819999999999999"/>
    <n v="5998.1"/>
    <n v="0.24179999999999999"/>
    <x v="0"/>
    <n v="-9.5"/>
  </r>
  <r>
    <n v="164"/>
    <s v="Frank Sinatra"/>
    <x v="0"/>
    <x v="0"/>
    <x v="0"/>
    <x v="5"/>
    <x v="1"/>
    <x v="47"/>
    <n v="12421.7"/>
    <n v="11999.7"/>
    <n v="0.96599999999999997"/>
    <n v="421.9"/>
    <n v="3.4000000000000002E-2"/>
    <n v="9162.6"/>
    <n v="0.73760000000000003"/>
    <n v="3259.1"/>
    <n v="0.26240000000000002"/>
    <x v="0"/>
    <n v="0.1000000000003638"/>
  </r>
  <r>
    <n v="165"/>
    <s v="French Montana"/>
    <x v="0"/>
    <x v="25"/>
    <x v="0"/>
    <x v="0"/>
    <x v="1"/>
    <x v="22"/>
    <n v="11640.6"/>
    <n v="6067.8"/>
    <n v="0.52129999999999999"/>
    <n v="5576.2"/>
    <n v="0.47899999999999998"/>
    <n v="325.2"/>
    <n v="2.7900000000000001E-2"/>
    <n v="11315.4"/>
    <n v="0.97209999999999996"/>
    <x v="0"/>
    <n v="-3.3999999999996362"/>
  </r>
  <r>
    <n v="166"/>
    <s v="Fuerza Regida"/>
    <x v="0"/>
    <x v="0"/>
    <x v="2"/>
    <x v="7"/>
    <x v="0"/>
    <x v="29"/>
    <n v="27466.799999999999"/>
    <n v="19814.7"/>
    <n v="0.72140000000000004"/>
    <n v="7652.1"/>
    <n v="0.27860000000000001"/>
    <n v="11576.2"/>
    <n v="0.42149999999999999"/>
    <n v="15890.6"/>
    <n v="0.57850000000000001"/>
    <x v="0"/>
    <n v="0"/>
  </r>
  <r>
    <n v="167"/>
    <s v="Future"/>
    <x v="0"/>
    <x v="0"/>
    <x v="0"/>
    <x v="0"/>
    <x v="1"/>
    <x v="15"/>
    <n v="53951.5"/>
    <n v="27879"/>
    <n v="0.51670000000000005"/>
    <n v="26072.5"/>
    <n v="0.48330000000000001"/>
    <n v="12647.5"/>
    <n v="0.2344"/>
    <n v="41304"/>
    <n v="0.76559999999999995"/>
    <x v="0"/>
    <n v="0"/>
  </r>
  <r>
    <n v="168"/>
    <s v="Gabito Ballesteros"/>
    <x v="0"/>
    <x v="7"/>
    <x v="2"/>
    <x v="8"/>
    <x v="1"/>
    <x v="14"/>
    <n v="9076.4"/>
    <n v="3472"/>
    <n v="0.38250000000000001"/>
    <n v="5604.3"/>
    <n v="0.61750000000000005"/>
    <n v="752.1"/>
    <n v="8.2900000000000001E-2"/>
    <n v="8324.2999999999993"/>
    <n v="0.91710000000000003"/>
    <x v="0"/>
    <n v="0.1000000000003638"/>
  </r>
  <r>
    <n v="169"/>
    <s v="G-Eazy"/>
    <x v="0"/>
    <x v="0"/>
    <x v="0"/>
    <x v="0"/>
    <x v="1"/>
    <x v="24"/>
    <n v="15133"/>
    <n v="11606.5"/>
    <n v="0.76700000000000002"/>
    <n v="3518.6"/>
    <n v="0.23250000000000001"/>
    <n v="1928.5"/>
    <n v="0.12740000000000001"/>
    <n v="13204.5"/>
    <n v="0.87260000000000004"/>
    <x v="0"/>
    <n v="7.8999999999996362"/>
  </r>
  <r>
    <n v="170"/>
    <s v="GIMS"/>
    <x v="0"/>
    <x v="26"/>
    <x v="8"/>
    <x v="0"/>
    <x v="1"/>
    <x v="20"/>
    <n v="8439.5"/>
    <n v="6942.6"/>
    <n v="0.8226"/>
    <n v="1509.4"/>
    <n v="0.17879999999999999"/>
    <n v="3538.8"/>
    <n v="0.41930000000000001"/>
    <n v="4900.7"/>
    <n v="0.58069999999999999"/>
    <x v="0"/>
    <n v="-12.5"/>
  </r>
  <r>
    <n v="171"/>
    <s v="GIVÄ’ON"/>
    <x v="0"/>
    <x v="0"/>
    <x v="0"/>
    <x v="2"/>
    <x v="1"/>
    <x v="29"/>
    <n v="9302.9"/>
    <n v="5809.3"/>
    <n v="0.62450000000000006"/>
    <n v="3497.2"/>
    <n v="0.37590000000000001"/>
    <n v="5699"/>
    <n v="0.61260000000000003"/>
    <n v="3603.9"/>
    <n v="0.38740000000000002"/>
    <x v="0"/>
    <n v="-3.6000000000003638"/>
  </r>
  <r>
    <n v="172"/>
    <s v="Glass Animals"/>
    <x v="0"/>
    <x v="1"/>
    <x v="0"/>
    <x v="13"/>
    <x v="0"/>
    <x v="19"/>
    <n v="8591.1"/>
    <n v="8578.7000000000007"/>
    <n v="0.99860000000000004"/>
    <n v="15.4"/>
    <n v="1.8E-3"/>
    <n v="7995.8"/>
    <n v="0.93069999999999997"/>
    <n v="595.29999999999995"/>
    <n v="6.93E-2"/>
    <x v="0"/>
    <n v="-3"/>
  </r>
  <r>
    <n v="173"/>
    <s v="Gorillaz"/>
    <x v="0"/>
    <x v="1"/>
    <x v="0"/>
    <x v="13"/>
    <x v="0"/>
    <x v="16"/>
    <n v="14104.4"/>
    <n v="14087.5"/>
    <n v="0.99880000000000002"/>
    <n v="23.4"/>
    <n v="1.6999999999999999E-3"/>
    <n v="3963.9"/>
    <n v="0.28100000000000003"/>
    <n v="10140.5"/>
    <n v="0.71899999999999997"/>
    <x v="0"/>
    <n v="-6.5"/>
  </r>
  <r>
    <n v="174"/>
    <s v="Gracie Abrams"/>
    <x v="2"/>
    <x v="0"/>
    <x v="0"/>
    <x v="5"/>
    <x v="1"/>
    <x v="25"/>
    <n v="9797.7999999999993"/>
    <n v="9279.7000000000007"/>
    <n v="0.94710000000000005"/>
    <n v="543.29999999999995"/>
    <n v="5.5500000000000001E-2"/>
    <n v="8953.2000000000007"/>
    <n v="0.91379999999999995"/>
    <n v="844.6"/>
    <n v="8.6199999999999999E-2"/>
    <x v="0"/>
    <n v="-25.200000000000728"/>
  </r>
  <r>
    <n v="175"/>
    <s v="Green Day"/>
    <x v="0"/>
    <x v="0"/>
    <x v="0"/>
    <x v="1"/>
    <x v="0"/>
    <x v="39"/>
    <n v="15453.3"/>
    <n v="15342.6"/>
    <n v="0.99280000000000002"/>
    <n v="118.3"/>
    <n v="7.7000000000000002E-3"/>
    <n v="15333.7"/>
    <n v="0.99229999999999996"/>
    <n v="119.6"/>
    <n v="7.7000000000000002E-3"/>
    <x v="0"/>
    <n v="-7.6000000000003638"/>
  </r>
  <r>
    <n v="176"/>
    <s v="Grupo Firme"/>
    <x v="0"/>
    <x v="7"/>
    <x v="2"/>
    <x v="8"/>
    <x v="0"/>
    <x v="0"/>
    <n v="12151.3"/>
    <n v="8589.7999999999993"/>
    <n v="0.70689999999999997"/>
    <n v="3569.6"/>
    <n v="0.29380000000000001"/>
    <n v="2705.2"/>
    <n v="0.22259999999999999"/>
    <n v="9446.1"/>
    <n v="0.77739999999999998"/>
    <x v="0"/>
    <n v="-8.1000000000003638"/>
  </r>
  <r>
    <n v="177"/>
    <s v="Grupo Frontera"/>
    <x v="0"/>
    <x v="0"/>
    <x v="2"/>
    <x v="8"/>
    <x v="0"/>
    <x v="48"/>
    <n v="13999.3"/>
    <n v="8094.6"/>
    <n v="0.57820000000000005"/>
    <n v="5914.6"/>
    <n v="0.42249999999999999"/>
    <n v="2001.5"/>
    <n v="0.14299999999999999"/>
    <n v="11997.8"/>
    <n v="0.85699999999999998"/>
    <x v="0"/>
    <n v="-9.9000000000014552"/>
  </r>
  <r>
    <n v="178"/>
    <s v="Grupo Marca Registrada"/>
    <x v="0"/>
    <x v="7"/>
    <x v="2"/>
    <x v="8"/>
    <x v="0"/>
    <x v="14"/>
    <n v="7123.4"/>
    <n v="5595.9"/>
    <n v="0.78559999999999997"/>
    <n v="1527.5"/>
    <n v="0.21440000000000001"/>
    <n v="3002"/>
    <n v="0.4214"/>
    <n v="4121.3999999999996"/>
    <n v="0.5786"/>
    <x v="0"/>
    <n v="0"/>
  </r>
  <r>
    <n v="179"/>
    <s v="Grupo Menos Ã‰ Mais"/>
    <x v="0"/>
    <x v="10"/>
    <x v="4"/>
    <x v="7"/>
    <x v="0"/>
    <x v="6"/>
    <n v="7277.6"/>
    <n v="6836.9"/>
    <n v="0.93940000000000001"/>
    <n v="455.9"/>
    <n v="6.2600000000000003E-2"/>
    <n v="3003"/>
    <n v="0.41260000000000002"/>
    <n v="4274.6000000000004"/>
    <n v="0.58740000000000003"/>
    <x v="0"/>
    <n v="-15.199999999998909"/>
  </r>
  <r>
    <n v="180"/>
    <s v="Gucci Mane"/>
    <x v="0"/>
    <x v="0"/>
    <x v="0"/>
    <x v="0"/>
    <x v="1"/>
    <x v="21"/>
    <n v="14880.2"/>
    <n v="7106.1"/>
    <n v="0.47760000000000002"/>
    <n v="7779.1"/>
    <n v="0.52280000000000004"/>
    <n v="1618.8"/>
    <n v="0.10879999999999999"/>
    <n v="13261.4"/>
    <n v="0.89119999999999999"/>
    <x v="0"/>
    <n v="-5"/>
  </r>
  <r>
    <n v="181"/>
    <s v="Gunna"/>
    <x v="0"/>
    <x v="0"/>
    <x v="0"/>
    <x v="0"/>
    <x v="1"/>
    <x v="20"/>
    <n v="28195.8"/>
    <n v="12491.3"/>
    <n v="0.443"/>
    <n v="15715.6"/>
    <n v="0.55740000000000001"/>
    <n v="7949.8"/>
    <n v="0.28189999999999998"/>
    <n v="20246"/>
    <n v="0.71809999999999996"/>
    <x v="0"/>
    <n v="-11.100000000002183"/>
  </r>
  <r>
    <n v="182"/>
    <s v="Guns N' Roses"/>
    <x v="0"/>
    <x v="0"/>
    <x v="0"/>
    <x v="1"/>
    <x v="0"/>
    <x v="49"/>
    <n v="13683"/>
    <n v="13689.3"/>
    <n v="1.0004999999999999"/>
    <n v="0"/>
    <n v="0"/>
    <n v="13682.2"/>
    <n v="0.99990000000000001"/>
    <n v="0.8"/>
    <n v="1E-4"/>
    <x v="1"/>
    <n v="-6.2999999999992724"/>
  </r>
  <r>
    <n v="183"/>
    <s v="Gusttavo Lima"/>
    <x v="0"/>
    <x v="10"/>
    <x v="4"/>
    <x v="10"/>
    <x v="1"/>
    <x v="37"/>
    <n v="12324.9"/>
    <n v="10393.6"/>
    <n v="0.84330000000000005"/>
    <n v="1924.7"/>
    <n v="0.15620000000000001"/>
    <n v="8841.9"/>
    <n v="0.71740000000000004"/>
    <n v="3483"/>
    <n v="0.28260000000000002"/>
    <x v="0"/>
    <n v="6.5999999999985448"/>
  </r>
  <r>
    <n v="184"/>
    <s v="H.E.R."/>
    <x v="2"/>
    <x v="0"/>
    <x v="0"/>
    <x v="2"/>
    <x v="1"/>
    <x v="6"/>
    <n v="7608.2"/>
    <n v="3801.5"/>
    <n v="0.49969999999999998"/>
    <n v="3806.7"/>
    <n v="0.50029999999999997"/>
    <n v="2191.8000000000002"/>
    <n v="0.28810000000000002"/>
    <n v="5416.4"/>
    <n v="0.71189999999999998"/>
    <x v="0"/>
    <n v="0"/>
  </r>
  <r>
    <n v="185"/>
    <s v="Halsey"/>
    <x v="2"/>
    <x v="0"/>
    <x v="0"/>
    <x v="5"/>
    <x v="1"/>
    <x v="0"/>
    <n v="25687.5"/>
    <n v="13902.2"/>
    <n v="0.54120000000000001"/>
    <n v="11792.3"/>
    <n v="0.45910000000000001"/>
    <n v="12376.1"/>
    <n v="0.48180000000000001"/>
    <n v="13311.4"/>
    <n v="0.51819999999999999"/>
    <x v="0"/>
    <n v="-7"/>
  </r>
  <r>
    <n v="186"/>
    <s v="Hans Zimmer"/>
    <x v="0"/>
    <x v="14"/>
    <x v="6"/>
    <x v="21"/>
    <x v="1"/>
    <x v="50"/>
    <n v="8906.9"/>
    <n v="8155.5"/>
    <n v="0.91559999999999997"/>
    <n v="751.4"/>
    <n v="8.4400000000000003E-2"/>
    <n v="5041.5"/>
    <n v="0.56599999999999995"/>
    <n v="3865.4"/>
    <n v="0.434"/>
    <x v="0"/>
    <n v="0"/>
  </r>
  <r>
    <n v="187"/>
    <s v="Harry Styles"/>
    <x v="0"/>
    <x v="1"/>
    <x v="0"/>
    <x v="5"/>
    <x v="1"/>
    <x v="15"/>
    <n v="29449"/>
    <n v="29462.799999999999"/>
    <n v="1.0004999999999999"/>
    <n v="0"/>
    <n v="0"/>
    <n v="29449"/>
    <n v="1"/>
    <n v="0"/>
    <n v="0"/>
    <x v="1"/>
    <n v="-13.799999999999272"/>
  </r>
  <r>
    <n v="188"/>
    <s v="Henrique &amp; Juliano"/>
    <x v="0"/>
    <x v="10"/>
    <x v="4"/>
    <x v="10"/>
    <x v="0"/>
    <x v="11"/>
    <n v="19231.7"/>
    <n v="15881.4"/>
    <n v="0.82579999999999998"/>
    <n v="3360.5"/>
    <n v="0.17469999999999999"/>
    <n v="15399.4"/>
    <n v="0.80069999999999997"/>
    <n v="3832.3"/>
    <n v="0.1993"/>
    <x v="0"/>
    <n v="-10.200000000000728"/>
  </r>
  <r>
    <n v="189"/>
    <s v="Hozier"/>
    <x v="0"/>
    <x v="27"/>
    <x v="0"/>
    <x v="1"/>
    <x v="1"/>
    <x v="20"/>
    <n v="16556.5"/>
    <n v="15920.4"/>
    <n v="0.96160000000000001"/>
    <n v="641.79999999999995"/>
    <n v="3.8800000000000001E-2"/>
    <n v="15519.5"/>
    <n v="0.93740000000000001"/>
    <n v="1037"/>
    <n v="6.2600000000000003E-2"/>
    <x v="0"/>
    <n v="-5.7000000000007276"/>
  </r>
  <r>
    <n v="190"/>
    <s v="Imagine Dragons"/>
    <x v="0"/>
    <x v="0"/>
    <x v="0"/>
    <x v="1"/>
    <x v="0"/>
    <x v="19"/>
    <n v="40279.5"/>
    <n v="38006.699999999997"/>
    <n v="0.94359999999999999"/>
    <n v="2283.1999999999998"/>
    <n v="5.67E-2"/>
    <n v="33880.400000000001"/>
    <n v="0.84109999999999996"/>
    <n v="6399.1"/>
    <n v="0.15890000000000001"/>
    <x v="0"/>
    <n v="-10.399999999994179"/>
  </r>
  <r>
    <n v="191"/>
    <s v="Irshad Kamil"/>
    <x v="0"/>
    <x v="3"/>
    <x v="3"/>
    <x v="3"/>
    <x v="1"/>
    <x v="8"/>
    <n v="11014.9"/>
    <n v="5793.9"/>
    <n v="0.52600000000000002"/>
    <n v="5236.3"/>
    <n v="0.47539999999999999"/>
    <n v="0"/>
    <n v="0"/>
    <n v="11014.9"/>
    <n v="1"/>
    <x v="0"/>
    <n v="-15.300000000001091"/>
  </r>
  <r>
    <n v="192"/>
    <s v="J Balvin"/>
    <x v="0"/>
    <x v="12"/>
    <x v="2"/>
    <x v="4"/>
    <x v="1"/>
    <x v="8"/>
    <n v="54649.2"/>
    <n v="25333.3"/>
    <n v="0.46360000000000001"/>
    <n v="29334"/>
    <n v="0.53680000000000005"/>
    <n v="7844.5"/>
    <n v="0.14349999999999999"/>
    <n v="46804.7"/>
    <n v="0.85650000000000004"/>
    <x v="0"/>
    <n v="-18.100000000005821"/>
  </r>
  <r>
    <n v="193"/>
    <s v="J. Cole"/>
    <x v="0"/>
    <x v="0"/>
    <x v="0"/>
    <x v="0"/>
    <x v="1"/>
    <x v="1"/>
    <n v="32200.9"/>
    <n v="24334.7"/>
    <n v="0.75570000000000004"/>
    <n v="7876.1"/>
    <n v="0.24460000000000001"/>
    <n v="18999.5"/>
    <n v="0.59"/>
    <n v="13201.4"/>
    <n v="0.41"/>
    <x v="0"/>
    <n v="-9.9000000000014552"/>
  </r>
  <r>
    <n v="194"/>
    <s v="JAÅ¸-Z"/>
    <x v="0"/>
    <x v="0"/>
    <x v="0"/>
    <x v="0"/>
    <x v="1"/>
    <x v="23"/>
    <n v="24440.1"/>
    <n v="13311.3"/>
    <n v="0.54459999999999997"/>
    <n v="11139.9"/>
    <n v="0.45579999999999998"/>
    <n v="2764.3"/>
    <n v="0.11310000000000001"/>
    <n v="21675.8"/>
    <n v="0.88690000000000002"/>
    <x v="0"/>
    <n v="-11.099999999998545"/>
  </r>
  <r>
    <n v="195"/>
    <s v="Jack Harlow"/>
    <x v="0"/>
    <x v="0"/>
    <x v="0"/>
    <x v="0"/>
    <x v="1"/>
    <x v="14"/>
    <n v="12751"/>
    <n v="8481.6"/>
    <n v="0.66520000000000001"/>
    <n v="4272.5"/>
    <n v="0.33510000000000001"/>
    <n v="5659.8"/>
    <n v="0.44390000000000002"/>
    <n v="7091.2"/>
    <n v="0.55610000000000004"/>
    <x v="0"/>
    <n v="-3.1000000000003638"/>
  </r>
  <r>
    <n v="196"/>
    <s v="Jack Johnson"/>
    <x v="0"/>
    <x v="0"/>
    <x v="0"/>
    <x v="1"/>
    <x v="1"/>
    <x v="16"/>
    <n v="8551.4"/>
    <n v="8199.2999999999993"/>
    <n v="0.95879999999999999"/>
    <n v="355"/>
    <n v="4.1500000000000002E-2"/>
    <n v="7907.6"/>
    <n v="0.92469999999999997"/>
    <n v="643.79999999999995"/>
    <n v="7.5300000000000006E-2"/>
    <x v="0"/>
    <n v="-2.8999999999996362"/>
  </r>
  <r>
    <n v="197"/>
    <s v="James Arthur"/>
    <x v="0"/>
    <x v="1"/>
    <x v="0"/>
    <x v="5"/>
    <x v="1"/>
    <x v="19"/>
    <n v="16111.6"/>
    <n v="14817.7"/>
    <n v="0.91969999999999996"/>
    <n v="1297.5999999999999"/>
    <n v="8.0500000000000002E-2"/>
    <n v="12881.3"/>
    <n v="0.79949999999999999"/>
    <n v="3230.3"/>
    <n v="0.20050000000000001"/>
    <x v="0"/>
    <n v="-3.7000000000007276"/>
  </r>
  <r>
    <n v="198"/>
    <s v="Jason Aldean"/>
    <x v="0"/>
    <x v="0"/>
    <x v="0"/>
    <x v="19"/>
    <x v="1"/>
    <x v="21"/>
    <n v="7423.5"/>
    <n v="7117.2"/>
    <n v="0.9587"/>
    <n v="319.89999999999998"/>
    <n v="4.3099999999999999E-2"/>
    <n v="6510.5"/>
    <n v="0.877"/>
    <n v="913"/>
    <n v="0.123"/>
    <x v="0"/>
    <n v="-13.599999999999454"/>
  </r>
  <r>
    <n v="199"/>
    <s v="Jason Derulo"/>
    <x v="0"/>
    <x v="0"/>
    <x v="0"/>
    <x v="5"/>
    <x v="1"/>
    <x v="37"/>
    <n v="17720.2"/>
    <n v="13610.1"/>
    <n v="0.7681"/>
    <n v="4116.2"/>
    <n v="0.23230000000000001"/>
    <n v="8342.7000000000007"/>
    <n v="0.4708"/>
    <n v="9377.5"/>
    <n v="0.5292"/>
    <x v="0"/>
    <n v="-6.0999999999985448"/>
  </r>
  <r>
    <n v="200"/>
    <s v="Jason Mraz"/>
    <x v="0"/>
    <x v="0"/>
    <x v="0"/>
    <x v="5"/>
    <x v="1"/>
    <x v="22"/>
    <n v="7048.5"/>
    <n v="6851.4"/>
    <n v="0.97199999999999998"/>
    <n v="199.1"/>
    <n v="2.8199999999999999E-2"/>
    <n v="5805"/>
    <n v="0.8236"/>
    <n v="1243.5"/>
    <n v="0.1764"/>
    <x v="0"/>
    <n v="-2"/>
  </r>
  <r>
    <n v="201"/>
    <s v="Jay Wheeler"/>
    <x v="0"/>
    <x v="0"/>
    <x v="2"/>
    <x v="4"/>
    <x v="1"/>
    <x v="25"/>
    <n v="8282.2999999999993"/>
    <n v="6707"/>
    <n v="0.80979999999999996"/>
    <n v="1607.4"/>
    <n v="0.19409999999999999"/>
    <n v="999.5"/>
    <n v="0.1207"/>
    <n v="7282.8"/>
    <n v="0.87929999999999997"/>
    <x v="0"/>
    <n v="-32.100000000000364"/>
  </r>
  <r>
    <n v="202"/>
    <s v="JENNIE"/>
    <x v="2"/>
    <x v="16"/>
    <x v="7"/>
    <x v="15"/>
    <x v="1"/>
    <x v="6"/>
    <n v="8056.8"/>
    <n v="4415.6000000000004"/>
    <n v="0.54810000000000003"/>
    <n v="3648.3"/>
    <n v="0.45279999999999998"/>
    <n v="3447"/>
    <n v="0.42780000000000001"/>
    <n v="4609.8"/>
    <n v="0.57220000000000004"/>
    <x v="0"/>
    <n v="-7.1000000000003638"/>
  </r>
  <r>
    <n v="203"/>
    <s v="Jennifer Lopez"/>
    <x v="2"/>
    <x v="0"/>
    <x v="0"/>
    <x v="5"/>
    <x v="1"/>
    <x v="34"/>
    <n v="9115.7000000000007"/>
    <n v="7543"/>
    <n v="0.82750000000000001"/>
    <n v="1578.6"/>
    <n v="0.17319999999999999"/>
    <n v="2706.2"/>
    <n v="0.2969"/>
    <n v="6409.5"/>
    <n v="0.70309999999999995"/>
    <x v="0"/>
    <n v="-5.8999999999996362"/>
  </r>
  <r>
    <n v="204"/>
    <s v="Jeremih"/>
    <x v="0"/>
    <x v="0"/>
    <x v="0"/>
    <x v="2"/>
    <x v="1"/>
    <x v="37"/>
    <n v="9713"/>
    <n v="5586.8"/>
    <n v="0.57520000000000004"/>
    <n v="4126.1000000000004"/>
    <n v="0.42480000000000001"/>
    <n v="2334.8000000000002"/>
    <n v="0.2404"/>
    <n v="7378.2"/>
    <n v="0.75960000000000005"/>
    <x v="0"/>
    <n v="9.9999999998544808E-2"/>
  </r>
  <r>
    <n v="205"/>
    <s v="Jess Glynne"/>
    <x v="2"/>
    <x v="1"/>
    <x v="0"/>
    <x v="5"/>
    <x v="1"/>
    <x v="0"/>
    <n v="8019.9"/>
    <n v="3097.3"/>
    <n v="0.38619999999999999"/>
    <n v="4922.6000000000004"/>
    <n v="0.61380000000000001"/>
    <n v="2755.3"/>
    <n v="0.34360000000000002"/>
    <n v="5264.6"/>
    <n v="0.65639999999999998"/>
    <x v="0"/>
    <n v="0"/>
  </r>
  <r>
    <n v="206"/>
    <s v="JHAYCO"/>
    <x v="0"/>
    <x v="0"/>
    <x v="2"/>
    <x v="4"/>
    <x v="1"/>
    <x v="5"/>
    <n v="17516.099999999999"/>
    <n v="16311.4"/>
    <n v="0.93120000000000003"/>
    <n v="1210.7"/>
    <n v="6.9099999999999995E-2"/>
    <n v="2137.8000000000002"/>
    <n v="0.122"/>
    <n v="15378.3"/>
    <n v="0.878"/>
    <x v="0"/>
    <n v="-6"/>
  </r>
  <r>
    <n v="207"/>
    <s v="JhenÃ© Aiko"/>
    <x v="2"/>
    <x v="0"/>
    <x v="0"/>
    <x v="2"/>
    <x v="1"/>
    <x v="22"/>
    <n v="10731.7"/>
    <n v="6224.9"/>
    <n v="0.57999999999999996"/>
    <n v="4506.8"/>
    <n v="0.42"/>
    <n v="3239.2"/>
    <n v="0.30180000000000001"/>
    <n v="7492.5"/>
    <n v="0.69820000000000004"/>
    <x v="0"/>
    <n v="0"/>
  </r>
  <r>
    <n v="208"/>
    <s v="JID"/>
    <x v="0"/>
    <x v="0"/>
    <x v="0"/>
    <x v="0"/>
    <x v="1"/>
    <x v="15"/>
    <n v="7073.7"/>
    <n v="2882.3"/>
    <n v="0.40749999999999997"/>
    <n v="4191.3999999999996"/>
    <n v="0.59250000000000003"/>
    <n v="1158.3"/>
    <n v="0.16370000000000001"/>
    <n v="5915.4"/>
    <n v="0.83630000000000004"/>
    <x v="0"/>
    <n v="0"/>
  </r>
  <r>
    <n v="209"/>
    <s v="Jimin"/>
    <x v="0"/>
    <x v="16"/>
    <x v="7"/>
    <x v="15"/>
    <x v="1"/>
    <x v="20"/>
    <n v="8472.9"/>
    <n v="7819.3"/>
    <n v="0.92290000000000005"/>
    <n v="656.6"/>
    <n v="7.7499999999999999E-2"/>
    <n v="6967.6"/>
    <n v="0.82230000000000003"/>
    <n v="1505.3"/>
    <n v="0.1777"/>
    <x v="0"/>
    <n v="-3"/>
  </r>
  <r>
    <n v="210"/>
    <s v="Joan Sebastian"/>
    <x v="0"/>
    <x v="7"/>
    <x v="2"/>
    <x v="8"/>
    <x v="1"/>
    <x v="10"/>
    <n v="8622.1"/>
    <n v="8534"/>
    <n v="0.98980000000000001"/>
    <n v="98.1"/>
    <n v="1.14E-2"/>
    <n v="7271"/>
    <n v="0.84330000000000005"/>
    <n v="1351.1"/>
    <n v="0.15670000000000001"/>
    <x v="0"/>
    <n v="-10"/>
  </r>
  <r>
    <n v="211"/>
    <s v="John Legend"/>
    <x v="0"/>
    <x v="0"/>
    <x v="0"/>
    <x v="2"/>
    <x v="1"/>
    <x v="8"/>
    <n v="11821.6"/>
    <n v="7454.6"/>
    <n v="0.63060000000000005"/>
    <n v="4369.1000000000004"/>
    <n v="0.36959999999999998"/>
    <n v="5783.2"/>
    <n v="0.48920000000000002"/>
    <n v="6038.4"/>
    <n v="0.51080000000000003"/>
    <x v="0"/>
    <n v="-2.1000000000003638"/>
  </r>
  <r>
    <n v="212"/>
    <s v="John Mayer"/>
    <x v="0"/>
    <x v="0"/>
    <x v="0"/>
    <x v="5"/>
    <x v="1"/>
    <x v="34"/>
    <n v="13208.3"/>
    <n v="12134.4"/>
    <n v="0.91869999999999996"/>
    <n v="1076.8"/>
    <n v="8.1500000000000003E-2"/>
    <n v="11821.4"/>
    <n v="0.89500000000000002"/>
    <n v="1386.9"/>
    <n v="0.105"/>
    <x v="0"/>
    <n v="-2.8999999999996362"/>
  </r>
  <r>
    <n v="213"/>
    <s v="Johnny Cash"/>
    <x v="0"/>
    <x v="0"/>
    <x v="0"/>
    <x v="19"/>
    <x v="1"/>
    <x v="51"/>
    <n v="7450.6"/>
    <n v="6491.8"/>
    <n v="0.87129999999999996"/>
    <n v="961.4"/>
    <n v="0.129"/>
    <n v="5866.4"/>
    <n v="0.78739999999999999"/>
    <n v="1584.2"/>
    <n v="0.21260000000000001"/>
    <x v="0"/>
    <n v="-2.5999999999994543"/>
  </r>
  <r>
    <n v="214"/>
    <s v="Joji"/>
    <x v="0"/>
    <x v="28"/>
    <x v="0"/>
    <x v="2"/>
    <x v="1"/>
    <x v="5"/>
    <n v="14512.1"/>
    <n v="13579.3"/>
    <n v="0.93569999999999998"/>
    <n v="938.4"/>
    <n v="6.4699999999999994E-2"/>
    <n v="12111.7"/>
    <n v="0.83460000000000001"/>
    <n v="2400.4"/>
    <n v="0.16539999999999999"/>
    <x v="0"/>
    <n v="-5.5999999999985448"/>
  </r>
  <r>
    <n v="215"/>
    <s v="Jonas Blue"/>
    <x v="0"/>
    <x v="1"/>
    <x v="0"/>
    <x v="6"/>
    <x v="1"/>
    <x v="14"/>
    <n v="9206.7000000000007"/>
    <n v="7645.1"/>
    <n v="0.83040000000000003"/>
    <n v="1564.1"/>
    <n v="0.1699"/>
    <n v="36.4"/>
    <n v="4.0000000000000001E-3"/>
    <n v="9170.2999999999993"/>
    <n v="0.996"/>
    <x v="0"/>
    <n v="-2.5"/>
  </r>
  <r>
    <n v="216"/>
    <s v="Jonas Brothers"/>
    <x v="0"/>
    <x v="0"/>
    <x v="0"/>
    <x v="5"/>
    <x v="0"/>
    <x v="24"/>
    <n v="8909.9"/>
    <n v="6844.4"/>
    <n v="0.76819999999999999"/>
    <n v="2067.6999999999998"/>
    <n v="0.2321"/>
    <n v="6517.9"/>
    <n v="0.73150000000000004"/>
    <n v="2392"/>
    <n v="0.26850000000000002"/>
    <x v="0"/>
    <n v="-2.1999999999989086"/>
  </r>
  <r>
    <n v="217"/>
    <s v="Jorge &amp; Mateus"/>
    <x v="0"/>
    <x v="10"/>
    <x v="4"/>
    <x v="10"/>
    <x v="0"/>
    <x v="1"/>
    <n v="14404.4"/>
    <n v="11024"/>
    <n v="0.76529999999999998"/>
    <n v="3391.4"/>
    <n v="0.2354"/>
    <n v="10484.4"/>
    <n v="0.72789999999999999"/>
    <n v="3920"/>
    <n v="0.27210000000000001"/>
    <x v="0"/>
    <n v="-11"/>
  </r>
  <r>
    <n v="218"/>
    <s v="Juan Gabriel"/>
    <x v="0"/>
    <x v="7"/>
    <x v="2"/>
    <x v="7"/>
    <x v="1"/>
    <x v="27"/>
    <n v="7059.2"/>
    <n v="6505.8"/>
    <n v="0.92159999999999997"/>
    <n v="557.1"/>
    <n v="7.8899999999999998E-2"/>
    <n v="5676.3"/>
    <n v="0.80410000000000004"/>
    <n v="1382.9"/>
    <n v="0.19589999999999999"/>
    <x v="0"/>
    <n v="-3.7000000000007276"/>
  </r>
  <r>
    <n v="219"/>
    <s v="Juanes"/>
    <x v="0"/>
    <x v="12"/>
    <x v="2"/>
    <x v="7"/>
    <x v="1"/>
    <x v="52"/>
    <n v="9121.6"/>
    <n v="4954.8"/>
    <n v="0.54320000000000002"/>
    <n v="4166.8"/>
    <n v="0.45679999999999998"/>
    <n v="4039.5"/>
    <n v="0.44280000000000003"/>
    <n v="5082.1000000000004"/>
    <n v="0.55720000000000003"/>
    <x v="0"/>
    <n v="0"/>
  </r>
  <r>
    <n v="220"/>
    <s v="Juice WRLD"/>
    <x v="0"/>
    <x v="0"/>
    <x v="0"/>
    <x v="0"/>
    <x v="1"/>
    <x v="14"/>
    <n v="46276.4"/>
    <n v="34132.1"/>
    <n v="0.73760000000000003"/>
    <n v="12155.1"/>
    <n v="0.26269999999999999"/>
    <n v="26675.7"/>
    <n v="0.57640000000000002"/>
    <n v="19600.7"/>
    <n v="0.42359999999999998"/>
    <x v="0"/>
    <n v="-10.799999999995634"/>
  </r>
  <r>
    <n v="221"/>
    <s v="Juicy J"/>
    <x v="0"/>
    <x v="0"/>
    <x v="0"/>
    <x v="0"/>
    <x v="1"/>
    <x v="2"/>
    <n v="8370.9"/>
    <n v="1884.2"/>
    <n v="0.22509999999999999"/>
    <n v="6486.7"/>
    <n v="0.77490000000000003"/>
    <n v="175.8"/>
    <n v="2.1000000000000001E-2"/>
    <n v="8195.1"/>
    <n v="0.97899999999999998"/>
    <x v="0"/>
    <n v="0"/>
  </r>
  <r>
    <n v="222"/>
    <s v="Jul"/>
    <x v="0"/>
    <x v="22"/>
    <x v="8"/>
    <x v="0"/>
    <x v="1"/>
    <x v="20"/>
    <n v="14127.8"/>
    <n v="11142.3"/>
    <n v="0.78869999999999996"/>
    <n v="2993.2"/>
    <n v="0.21190000000000001"/>
    <n v="8903.2000000000007"/>
    <n v="0.63019999999999998"/>
    <n v="5224.6000000000004"/>
    <n v="0.36980000000000002"/>
    <x v="0"/>
    <n v="-7.7000000000007276"/>
  </r>
  <r>
    <n v="223"/>
    <s v="Julia Michaels"/>
    <x v="2"/>
    <x v="0"/>
    <x v="0"/>
    <x v="5"/>
    <x v="1"/>
    <x v="15"/>
    <n v="8899.6"/>
    <n v="4219.1000000000004"/>
    <n v="0.47410000000000002"/>
    <n v="4681.7"/>
    <n v="0.52610000000000001"/>
    <n v="2876.3"/>
    <n v="0.32319999999999999"/>
    <n v="6023.3"/>
    <n v="0.67679999999999996"/>
    <x v="0"/>
    <n v="-1.1999999999989086"/>
  </r>
  <r>
    <n v="224"/>
    <s v="JuliÃ³n Ãlvarez y su NorteÃ±o Banda"/>
    <x v="0"/>
    <x v="7"/>
    <x v="2"/>
    <x v="8"/>
    <x v="0"/>
    <x v="1"/>
    <n v="9503.2999999999993"/>
    <n v="2467.8000000000002"/>
    <n v="0.25969999999999999"/>
    <n v="7045.9"/>
    <n v="0.74139999999999995"/>
    <n v="9278.4"/>
    <n v="0.97629999999999995"/>
    <n v="224.9"/>
    <n v="2.3699999999999999E-2"/>
    <x v="0"/>
    <n v="-10.400000000001455"/>
  </r>
  <r>
    <n v="225"/>
    <s v="Jung Kook"/>
    <x v="0"/>
    <x v="16"/>
    <x v="7"/>
    <x v="15"/>
    <x v="1"/>
    <x v="20"/>
    <n v="11232.6"/>
    <n v="9653.7999999999993"/>
    <n v="0.85940000000000005"/>
    <n v="1583.7"/>
    <n v="0.14099999999999999"/>
    <n v="4076.4"/>
    <n v="0.3629"/>
    <n v="7156.2"/>
    <n v="0.6371"/>
    <x v="0"/>
    <n v="-4.8999999999996362"/>
  </r>
  <r>
    <n v="226"/>
    <s v="Junior H"/>
    <x v="0"/>
    <x v="7"/>
    <x v="2"/>
    <x v="8"/>
    <x v="1"/>
    <x v="25"/>
    <n v="27406.799999999999"/>
    <n v="18341.2"/>
    <n v="0.66920000000000002"/>
    <n v="9084.4"/>
    <n v="0.33150000000000002"/>
    <n v="13658.7"/>
    <n v="0.49840000000000001"/>
    <n v="13748.1"/>
    <n v="0.50160000000000005"/>
    <x v="0"/>
    <n v="-18.799999999999272"/>
  </r>
  <r>
    <n v="227"/>
    <s v="Justin Bieber"/>
    <x v="0"/>
    <x v="9"/>
    <x v="0"/>
    <x v="5"/>
    <x v="1"/>
    <x v="37"/>
    <n v="78104.399999999994"/>
    <n v="48316.2"/>
    <n v="0.61860000000000004"/>
    <n v="29788.2"/>
    <n v="0.38140000000000002"/>
    <n v="29638.3"/>
    <n v="0.3795"/>
    <n v="48466.1"/>
    <n v="0.62050000000000005"/>
    <x v="0"/>
    <n v="0"/>
  </r>
  <r>
    <n v="228"/>
    <s v="Justin Quiles"/>
    <x v="0"/>
    <x v="0"/>
    <x v="2"/>
    <x v="4"/>
    <x v="1"/>
    <x v="15"/>
    <n v="15041.1"/>
    <n v="4978.8999999999996"/>
    <n v="0.33100000000000002"/>
    <n v="10062.1"/>
    <n v="0.66900000000000004"/>
    <n v="2069.9"/>
    <n v="0.1376"/>
    <n v="12971.2"/>
    <n v="0.86240000000000006"/>
    <x v="0"/>
    <n v="0.1000000000003638"/>
  </r>
  <r>
    <n v="229"/>
    <s v="Justin Timberlake"/>
    <x v="0"/>
    <x v="0"/>
    <x v="0"/>
    <x v="5"/>
    <x v="1"/>
    <x v="22"/>
    <n v="18270.8"/>
    <n v="13165.8"/>
    <n v="0.72060000000000002"/>
    <n v="5114.8999999999996"/>
    <n v="0.27989999999999998"/>
    <n v="8899.2000000000007"/>
    <n v="0.48709999999999998"/>
    <n v="9371.6"/>
    <n v="0.51290000000000002"/>
    <x v="0"/>
    <n v="-9.8999999999978172"/>
  </r>
  <r>
    <n v="230"/>
    <s v="Kali Uchis"/>
    <x v="2"/>
    <x v="12"/>
    <x v="0"/>
    <x v="2"/>
    <x v="1"/>
    <x v="19"/>
    <n v="18005.3"/>
    <n v="10367"/>
    <n v="0.57579999999999998"/>
    <n v="7646.6"/>
    <n v="0.42470000000000002"/>
    <n v="7259.1"/>
    <n v="0.4032"/>
    <n v="10746.2"/>
    <n v="0.5968"/>
    <x v="0"/>
    <n v="-8.2999999999992724"/>
  </r>
  <r>
    <n v="231"/>
    <s v="Kane Brown"/>
    <x v="0"/>
    <x v="0"/>
    <x v="0"/>
    <x v="19"/>
    <x v="1"/>
    <x v="0"/>
    <n v="7313.2"/>
    <n v="7318.3"/>
    <n v="1.0006999999999999"/>
    <n v="8.3000000000000007"/>
    <n v="1.1000000000000001E-3"/>
    <n v="2901.6"/>
    <n v="0.39679999999999999"/>
    <n v="4411.6000000000004"/>
    <n v="0.60319999999999996"/>
    <x v="1"/>
    <n v="-13.400000000000546"/>
  </r>
  <r>
    <n v="232"/>
    <s v="Kanye West"/>
    <x v="0"/>
    <x v="0"/>
    <x v="0"/>
    <x v="0"/>
    <x v="1"/>
    <x v="8"/>
    <n v="65142.9"/>
    <n v="46558.400000000001"/>
    <n v="0.7147"/>
    <n v="18584.5"/>
    <n v="0.2853"/>
    <n v="28473"/>
    <n v="0.43709999999999999"/>
    <n v="36669.9"/>
    <n v="0.56289999999999996"/>
    <x v="0"/>
    <n v="0"/>
  </r>
  <r>
    <n v="233"/>
    <s v="Karan Aujla"/>
    <x v="0"/>
    <x v="3"/>
    <x v="9"/>
    <x v="0"/>
    <x v="1"/>
    <x v="0"/>
    <n v="7550.3"/>
    <n v="6212.4"/>
    <n v="0.82279999999999998"/>
    <n v="1334.7"/>
    <n v="0.17680000000000001"/>
    <n v="1537.2"/>
    <n v="0.2036"/>
    <n v="6013.1"/>
    <n v="0.7964"/>
    <x v="0"/>
    <n v="3.2000000000007276"/>
  </r>
  <r>
    <n v="234"/>
    <s v="KAROL G"/>
    <x v="2"/>
    <x v="12"/>
    <x v="2"/>
    <x v="4"/>
    <x v="1"/>
    <x v="1"/>
    <n v="37549.699999999997"/>
    <n v="29603.8"/>
    <n v="0.78839999999999999"/>
    <n v="7961.5"/>
    <n v="0.21199999999999999"/>
    <n v="14790.4"/>
    <n v="0.39389999999999997"/>
    <n v="22759.3"/>
    <n v="0.60609999999999997"/>
    <x v="0"/>
    <n v="-15.600000000005821"/>
  </r>
  <r>
    <n v="235"/>
    <s v="Katy Perry"/>
    <x v="2"/>
    <x v="0"/>
    <x v="0"/>
    <x v="5"/>
    <x v="1"/>
    <x v="16"/>
    <n v="28248"/>
    <n v="25287.5"/>
    <n v="0.8952"/>
    <n v="2977.8"/>
    <n v="0.10539999999999999"/>
    <n v="19629.7"/>
    <n v="0.69489999999999996"/>
    <n v="8618.2999999999993"/>
    <n v="0.30509999999999998"/>
    <x v="0"/>
    <n v="-17.299999999999272"/>
  </r>
  <r>
    <n v="236"/>
    <s v="Kehlani"/>
    <x v="2"/>
    <x v="0"/>
    <x v="0"/>
    <x v="2"/>
    <x v="1"/>
    <x v="0"/>
    <n v="10712.8"/>
    <n v="6060.2"/>
    <n v="0.56569999999999998"/>
    <n v="4663.3999999999996"/>
    <n v="0.43530000000000002"/>
    <n v="4257.3999999999996"/>
    <n v="0.39739999999999998"/>
    <n v="6455.4"/>
    <n v="0.60260000000000002"/>
    <x v="0"/>
    <n v="-10.799999999999272"/>
  </r>
  <r>
    <n v="237"/>
    <s v="Kelly Clarkson"/>
    <x v="2"/>
    <x v="0"/>
    <x v="0"/>
    <x v="5"/>
    <x v="1"/>
    <x v="22"/>
    <n v="8339.2999999999993"/>
    <n v="7864.3"/>
    <n v="0.94299999999999995"/>
    <n v="477.4"/>
    <n v="5.7200000000000001E-2"/>
    <n v="7297.4"/>
    <n v="0.87509999999999999"/>
    <n v="1041.9000000000001"/>
    <n v="0.1249"/>
    <x v="0"/>
    <n v="-2.4000000000014552"/>
  </r>
  <r>
    <n v="238"/>
    <s v="Kendrick Lamar"/>
    <x v="0"/>
    <x v="0"/>
    <x v="0"/>
    <x v="0"/>
    <x v="1"/>
    <x v="37"/>
    <n v="56459.5"/>
    <n v="40752.199999999997"/>
    <n v="0.7218"/>
    <n v="15725"/>
    <n v="0.27850000000000003"/>
    <n v="23403.5"/>
    <n v="0.41449999999999998"/>
    <n v="33056"/>
    <n v="0.58550000000000002"/>
    <x v="0"/>
    <n v="-17.69999999999709"/>
  </r>
  <r>
    <n v="239"/>
    <s v="Kesha"/>
    <x v="2"/>
    <x v="0"/>
    <x v="0"/>
    <x v="5"/>
    <x v="1"/>
    <x v="37"/>
    <n v="12094.7"/>
    <n v="7821.4"/>
    <n v="0.64670000000000005"/>
    <n v="4279.1000000000004"/>
    <n v="0.3538"/>
    <n v="7189.4"/>
    <n v="0.59440000000000004"/>
    <n v="4905.3"/>
    <n v="0.40560000000000002"/>
    <x v="0"/>
    <n v="-5.7999999999992724"/>
  </r>
  <r>
    <n v="240"/>
    <s v="Kevin Gates"/>
    <x v="0"/>
    <x v="0"/>
    <x v="0"/>
    <x v="0"/>
    <x v="1"/>
    <x v="1"/>
    <n v="7589.1"/>
    <n v="6273.4"/>
    <n v="0.8266"/>
    <n v="1315.7"/>
    <n v="0.1734"/>
    <n v="5418.2"/>
    <n v="0.71389999999999998"/>
    <n v="2170.9"/>
    <n v="0.28610000000000002"/>
    <x v="0"/>
    <n v="0"/>
  </r>
  <r>
    <n v="241"/>
    <s v="Khalid"/>
    <x v="0"/>
    <x v="0"/>
    <x v="0"/>
    <x v="2"/>
    <x v="1"/>
    <x v="6"/>
    <n v="35727.199999999997"/>
    <n v="18499.900000000001"/>
    <n v="0.51780000000000004"/>
    <n v="17234.400000000001"/>
    <n v="0.4824"/>
    <n v="12520.6"/>
    <n v="0.35049999999999998"/>
    <n v="23206.6"/>
    <n v="0.64949999999999997"/>
    <x v="0"/>
    <n v="-7.1000000000058208"/>
  </r>
  <r>
    <n v="242"/>
    <s v="KHEA"/>
    <x v="0"/>
    <x v="15"/>
    <x v="2"/>
    <x v="0"/>
    <x v="1"/>
    <x v="5"/>
    <n v="7405.6"/>
    <n v="6405.3"/>
    <n v="0.8649"/>
    <n v="1014.5"/>
    <n v="0.13700000000000001"/>
    <n v="639.20000000000005"/>
    <n v="8.6300000000000002E-2"/>
    <n v="6766.4"/>
    <n v="0.91369999999999996"/>
    <x v="0"/>
    <n v="-14.199999999999818"/>
  </r>
  <r>
    <n v="243"/>
    <s v="Kid Cudi"/>
    <x v="0"/>
    <x v="0"/>
    <x v="0"/>
    <x v="0"/>
    <x v="1"/>
    <x v="11"/>
    <n v="15086.8"/>
    <n v="10607.6"/>
    <n v="0.70309999999999995"/>
    <n v="4483.8999999999996"/>
    <n v="0.29720000000000002"/>
    <n v="5835.1"/>
    <n v="0.38679999999999998"/>
    <n v="9251.7000000000007"/>
    <n v="0.61319999999999997"/>
    <x v="0"/>
    <n v="-4.7000000000007276"/>
  </r>
  <r>
    <n v="244"/>
    <s v="Kings of Leon"/>
    <x v="0"/>
    <x v="0"/>
    <x v="0"/>
    <x v="1"/>
    <x v="0"/>
    <x v="4"/>
    <n v="8647.7999999999993"/>
    <n v="8598.1"/>
    <n v="0.99429999999999996"/>
    <n v="54"/>
    <n v="6.1999999999999998E-3"/>
    <n v="8555.2000000000007"/>
    <n v="0.98929999999999996"/>
    <n v="92.6"/>
    <n v="1.0699999999999999E-2"/>
    <x v="0"/>
    <n v="-4.3000000000010914"/>
  </r>
  <r>
    <n v="245"/>
    <s v="Kodak Black"/>
    <x v="0"/>
    <x v="0"/>
    <x v="0"/>
    <x v="0"/>
    <x v="1"/>
    <x v="37"/>
    <n v="17738.8"/>
    <n v="11748.1"/>
    <n v="0.6623"/>
    <n v="5997.1"/>
    <n v="0.33810000000000001"/>
    <n v="7693.4"/>
    <n v="0.43369999999999997"/>
    <n v="10045.4"/>
    <n v="0.56630000000000003"/>
    <x v="0"/>
    <n v="-6.4000000000014552"/>
  </r>
  <r>
    <n v="246"/>
    <s v="Korn"/>
    <x v="0"/>
    <x v="0"/>
    <x v="0"/>
    <x v="11"/>
    <x v="0"/>
    <x v="36"/>
    <n v="6976.4"/>
    <n v="4188.3999999999996"/>
    <n v="0.60040000000000004"/>
    <n v="2798.5"/>
    <n v="0.40110000000000001"/>
    <n v="6414.9"/>
    <n v="0.91949999999999998"/>
    <n v="561.5"/>
    <n v="8.0500000000000002E-2"/>
    <x v="0"/>
    <n v="-10.5"/>
  </r>
  <r>
    <n v="247"/>
    <s v="Kumaar"/>
    <x v="0"/>
    <x v="3"/>
    <x v="3"/>
    <x v="5"/>
    <x v="1"/>
    <x v="34"/>
    <n v="7689.5"/>
    <n v="107.1"/>
    <n v="1.3899999999999999E-2"/>
    <n v="7598.6"/>
    <n v="0.98819999999999997"/>
    <n v="0"/>
    <n v="0"/>
    <n v="7689.5"/>
    <n v="1"/>
    <x v="0"/>
    <n v="-16.200000000000728"/>
  </r>
  <r>
    <n v="248"/>
    <s v="Kygo"/>
    <x v="0"/>
    <x v="6"/>
    <x v="0"/>
    <x v="6"/>
    <x v="1"/>
    <x v="20"/>
    <n v="19707.8"/>
    <n v="17829.8"/>
    <n v="0.90469999999999995"/>
    <n v="1883.3"/>
    <n v="9.5600000000000004E-2"/>
    <n v="250.7"/>
    <n v="1.2699999999999999E-2"/>
    <n v="19457.099999999999"/>
    <n v="0.98729999999999996"/>
    <x v="0"/>
    <n v="-5.2999999999992724"/>
  </r>
  <r>
    <n v="249"/>
    <s v="La Arrolladora Banda El LimÃ³n De Rene Camacho"/>
    <x v="0"/>
    <x v="7"/>
    <x v="2"/>
    <x v="8"/>
    <x v="0"/>
    <x v="53"/>
    <n v="10147.9"/>
    <n v="10065.9"/>
    <n v="0.9919"/>
    <n v="89.1"/>
    <n v="8.8000000000000005E-3"/>
    <n v="9956.7999999999993"/>
    <n v="0.98119999999999996"/>
    <n v="191.1"/>
    <n v="1.8800000000000001E-2"/>
    <x v="0"/>
    <n v="-7.1000000000003638"/>
  </r>
  <r>
    <n v="250"/>
    <s v="Labrinth"/>
    <x v="0"/>
    <x v="1"/>
    <x v="0"/>
    <x v="5"/>
    <x v="1"/>
    <x v="15"/>
    <n v="10783.2"/>
    <n v="7412.3"/>
    <n v="0.68740000000000001"/>
    <n v="3373.2"/>
    <n v="0.31280000000000002"/>
    <n v="5819.8"/>
    <n v="0.53969999999999996"/>
    <n v="4963.3999999999996"/>
    <n v="0.46029999999999999"/>
    <x v="0"/>
    <n v="-2.2999999999992724"/>
  </r>
  <r>
    <n v="251"/>
    <s v="Lady Gaga"/>
    <x v="2"/>
    <x v="0"/>
    <x v="0"/>
    <x v="5"/>
    <x v="1"/>
    <x v="11"/>
    <n v="37565.4"/>
    <n v="37009.699999999997"/>
    <n v="0.98519999999999996"/>
    <n v="572"/>
    <n v="1.52E-2"/>
    <n v="23546.2"/>
    <n v="0.62680000000000002"/>
    <n v="14019.2"/>
    <n v="0.37319999999999998"/>
    <x v="0"/>
    <n v="-16.299999999995634"/>
  </r>
  <r>
    <n v="252"/>
    <s v="Lana Del Rey"/>
    <x v="2"/>
    <x v="0"/>
    <x v="0"/>
    <x v="13"/>
    <x v="1"/>
    <x v="15"/>
    <n v="42464.1"/>
    <n v="38477.300000000003"/>
    <n v="0.90610000000000002"/>
    <n v="3986.8"/>
    <n v="9.3899999999999997E-2"/>
    <n v="34578.400000000001"/>
    <n v="0.81430000000000002"/>
    <n v="7885.7"/>
    <n v="0.1857"/>
    <x v="0"/>
    <n v="0"/>
  </r>
  <r>
    <n v="253"/>
    <s v="LANY"/>
    <x v="0"/>
    <x v="0"/>
    <x v="0"/>
    <x v="5"/>
    <x v="0"/>
    <x v="0"/>
    <n v="7453.2"/>
    <n v="2524.9"/>
    <n v="0.33879999999999999"/>
    <n v="4942.3999999999996"/>
    <n v="0.66310000000000002"/>
    <n v="6424.3"/>
    <n v="0.86199999999999999"/>
    <n v="1028.9000000000001"/>
    <n v="0.13800000000000001"/>
    <x v="0"/>
    <n v="-14.099999999999454"/>
  </r>
  <r>
    <n v="254"/>
    <s v="Laufey"/>
    <x v="2"/>
    <x v="29"/>
    <x v="0"/>
    <x v="5"/>
    <x v="1"/>
    <x v="46"/>
    <n v="7286.8"/>
    <n v="4703.7"/>
    <n v="0.64549999999999996"/>
    <n v="2609.5"/>
    <n v="0.35809999999999997"/>
    <n v="6083.2"/>
    <n v="0.83479999999999999"/>
    <n v="1203.5999999999999"/>
    <n v="0.16520000000000001"/>
    <x v="0"/>
    <n v="-26.399999999999636"/>
  </r>
  <r>
    <n v="255"/>
    <s v="LAUV"/>
    <x v="0"/>
    <x v="0"/>
    <x v="0"/>
    <x v="5"/>
    <x v="1"/>
    <x v="14"/>
    <n v="11966.9"/>
    <n v="10802.2"/>
    <n v="0.90269999999999995"/>
    <n v="1167.0999999999999"/>
    <n v="9.7500000000000003E-2"/>
    <n v="7423"/>
    <n v="0.62029999999999996"/>
    <n v="4543.8999999999996"/>
    <n v="0.37969999999999998"/>
    <x v="0"/>
    <n v="-2.4000000000014552"/>
  </r>
  <r>
    <n v="256"/>
    <s v="League of Legends"/>
    <x v="1"/>
    <x v="0"/>
    <x v="0"/>
    <x v="21"/>
    <x v="0"/>
    <x v="37"/>
    <n v="10048.299999999999"/>
    <n v="3456.4"/>
    <n v="0.34399999999999997"/>
    <n v="6591.9"/>
    <n v="0.65600000000000003"/>
    <n v="257"/>
    <n v="2.5600000000000001E-2"/>
    <n v="9791.2999999999993"/>
    <n v="0.97440000000000004"/>
    <x v="0"/>
    <n v="0"/>
  </r>
  <r>
    <n v="257"/>
    <s v="Led Zeppelin"/>
    <x v="0"/>
    <x v="1"/>
    <x v="0"/>
    <x v="1"/>
    <x v="0"/>
    <x v="44"/>
    <n v="9909.5"/>
    <n v="9912.7999999999993"/>
    <n v="1.0003"/>
    <n v="0"/>
    <n v="0"/>
    <n v="9909.5"/>
    <n v="1"/>
    <n v="0"/>
    <n v="0"/>
    <x v="1"/>
    <n v="-3.2999999999992724"/>
  </r>
  <r>
    <n v="258"/>
    <s v="Lenny TavÃ¡rez"/>
    <x v="0"/>
    <x v="0"/>
    <x v="2"/>
    <x v="4"/>
    <x v="1"/>
    <x v="37"/>
    <n v="13994"/>
    <n v="944.9"/>
    <n v="6.7500000000000004E-2"/>
    <n v="13049.1"/>
    <n v="0.9325"/>
    <n v="136"/>
    <n v="9.7000000000000003E-3"/>
    <n v="13858"/>
    <n v="0.99029999999999996"/>
    <x v="0"/>
    <n v="0"/>
  </r>
  <r>
    <n v="259"/>
    <s v="Lewis Capaldi"/>
    <x v="0"/>
    <x v="19"/>
    <x v="0"/>
    <x v="5"/>
    <x v="1"/>
    <x v="5"/>
    <n v="14087.8"/>
    <n v="14091.2"/>
    <n v="1.0002"/>
    <n v="0"/>
    <n v="0"/>
    <n v="13608.5"/>
    <n v="0.96599999999999997"/>
    <n v="479.3"/>
    <n v="3.4000000000000002E-2"/>
    <x v="1"/>
    <n v="-3.4000000000014552"/>
  </r>
  <r>
    <n v="260"/>
    <s v="Lil Baby"/>
    <x v="0"/>
    <x v="0"/>
    <x v="0"/>
    <x v="0"/>
    <x v="1"/>
    <x v="5"/>
    <n v="35931.9"/>
    <n v="18773.5"/>
    <n v="0.52249999999999996"/>
    <n v="17171.5"/>
    <n v="0.47789999999999999"/>
    <n v="8928.7999999999993"/>
    <n v="0.2485"/>
    <n v="27003.1"/>
    <n v="0.75149999999999995"/>
    <x v="0"/>
    <n v="-13.099999999998545"/>
  </r>
  <r>
    <n v="261"/>
    <s v="Lil Durk"/>
    <x v="0"/>
    <x v="0"/>
    <x v="0"/>
    <x v="0"/>
    <x v="1"/>
    <x v="3"/>
    <n v="15329.4"/>
    <n v="6848.7"/>
    <n v="0.44679999999999997"/>
    <n v="8480.7000000000007"/>
    <n v="0.55320000000000003"/>
    <n v="2898.8"/>
    <n v="0.18909999999999999"/>
    <n v="12430.6"/>
    <n v="0.81089999999999995"/>
    <x v="0"/>
    <n v="0"/>
  </r>
  <r>
    <n v="262"/>
    <s v="Lil Nas X"/>
    <x v="0"/>
    <x v="0"/>
    <x v="0"/>
    <x v="0"/>
    <x v="1"/>
    <x v="29"/>
    <n v="13039.8"/>
    <n v="12982.3"/>
    <n v="0.99560000000000004"/>
    <n v="59.7"/>
    <n v="4.5999999999999999E-3"/>
    <n v="7413.1"/>
    <n v="0.56850000000000001"/>
    <n v="5626.7"/>
    <n v="0.43149999999999999"/>
    <x v="0"/>
    <n v="-2.2000000000007276"/>
  </r>
  <r>
    <n v="263"/>
    <s v="Lil Peep"/>
    <x v="0"/>
    <x v="0"/>
    <x v="0"/>
    <x v="0"/>
    <x v="1"/>
    <x v="0"/>
    <n v="18649.5"/>
    <n v="17855.2"/>
    <n v="0.95740000000000003"/>
    <n v="801"/>
    <n v="4.2999999999999997E-2"/>
    <n v="9452.7000000000007"/>
    <n v="0.50690000000000002"/>
    <n v="9196.7999999999993"/>
    <n v="0.49309999999999998"/>
    <x v="0"/>
    <n v="-6.7000000000007276"/>
  </r>
  <r>
    <n v="264"/>
    <s v="Lil Tecca"/>
    <x v="0"/>
    <x v="0"/>
    <x v="0"/>
    <x v="0"/>
    <x v="1"/>
    <x v="5"/>
    <n v="11783.3"/>
    <n v="10687.5"/>
    <n v="0.90700000000000003"/>
    <n v="1099.4000000000001"/>
    <n v="9.3299999999999994E-2"/>
    <n v="8809.7999999999993"/>
    <n v="0.74770000000000003"/>
    <n v="2973.5"/>
    <n v="0.25230000000000002"/>
    <x v="0"/>
    <n v="-3.6000000000003638"/>
  </r>
  <r>
    <n v="265"/>
    <s v="Lil Tjay"/>
    <x v="0"/>
    <x v="0"/>
    <x v="0"/>
    <x v="0"/>
    <x v="1"/>
    <x v="5"/>
    <n v="9314.7999999999993"/>
    <n v="5409.5"/>
    <n v="0.58069999999999999"/>
    <n v="3905.3"/>
    <n v="0.41930000000000001"/>
    <n v="1907.2"/>
    <n v="0.20469999999999999"/>
    <n v="7407.6"/>
    <n v="0.79530000000000001"/>
    <x v="0"/>
    <n v="0"/>
  </r>
  <r>
    <n v="266"/>
    <s v="Lil Uzi Vert"/>
    <x v="0"/>
    <x v="0"/>
    <x v="0"/>
    <x v="0"/>
    <x v="1"/>
    <x v="0"/>
    <n v="32115.9"/>
    <n v="21117.5"/>
    <n v="0.65749999999999997"/>
    <n v="11006.6"/>
    <n v="0.3427"/>
    <n v="16803.2"/>
    <n v="0.5232"/>
    <n v="15312.7"/>
    <n v="0.4768"/>
    <x v="0"/>
    <n v="-8.1999999999970896"/>
  </r>
  <r>
    <n v="267"/>
    <s v="Lil Wayne"/>
    <x v="0"/>
    <x v="0"/>
    <x v="0"/>
    <x v="0"/>
    <x v="1"/>
    <x v="53"/>
    <n v="40148.199999999997"/>
    <n v="15870.4"/>
    <n v="0.39529999999999998"/>
    <n v="24279.9"/>
    <n v="0.6048"/>
    <n v="4050.9"/>
    <n v="0.1009"/>
    <n v="36097.300000000003"/>
    <n v="0.89910000000000001"/>
    <x v="0"/>
    <n v="-2.1000000000058208"/>
  </r>
  <r>
    <n v="268"/>
    <s v="Lil Yachty"/>
    <x v="0"/>
    <x v="0"/>
    <x v="0"/>
    <x v="0"/>
    <x v="1"/>
    <x v="14"/>
    <n v="12823.8"/>
    <n v="5535"/>
    <n v="0.43159999999999998"/>
    <n v="7288.8"/>
    <n v="0.56840000000000002"/>
    <n v="2109.1999999999998"/>
    <n v="0.16450000000000001"/>
    <n v="10714.6"/>
    <n v="0.83550000000000002"/>
    <x v="0"/>
    <n v="0"/>
  </r>
  <r>
    <n v="269"/>
    <s v="Limp Bizkit"/>
    <x v="0"/>
    <x v="0"/>
    <x v="0"/>
    <x v="22"/>
    <x v="0"/>
    <x v="53"/>
    <n v="7018.9"/>
    <n v="7018.4"/>
    <n v="0.99990000000000001"/>
    <n v="5.4"/>
    <n v="8.0000000000000004E-4"/>
    <n v="6806"/>
    <n v="0.96970000000000001"/>
    <n v="212.9"/>
    <n v="3.0300000000000001E-2"/>
    <x v="0"/>
    <n v="-4.8999999999996362"/>
  </r>
  <r>
    <n v="270"/>
    <s v="Linkin Park"/>
    <x v="1"/>
    <x v="0"/>
    <x v="0"/>
    <x v="1"/>
    <x v="0"/>
    <x v="43"/>
    <n v="33224.699999999997"/>
    <n v="31426.6"/>
    <n v="0.94589999999999996"/>
    <n v="1798.1"/>
    <n v="5.4100000000000002E-2"/>
    <n v="30151.200000000001"/>
    <n v="0.90749999999999997"/>
    <n v="3073.5"/>
    <n v="9.2499999999999999E-2"/>
    <x v="0"/>
    <n v="0"/>
  </r>
  <r>
    <n v="271"/>
    <s v="Little Mix"/>
    <x v="2"/>
    <x v="1"/>
    <x v="0"/>
    <x v="5"/>
    <x v="0"/>
    <x v="3"/>
    <n v="10985.7"/>
    <n v="0"/>
    <n v="0"/>
    <n v="11024.9"/>
    <n v="1.0036"/>
    <n v="6916.9"/>
    <n v="0.62960000000000005"/>
    <n v="4068.8"/>
    <n v="0.37040000000000001"/>
    <x v="1"/>
    <n v="-39.199999999998909"/>
  </r>
  <r>
    <n v="272"/>
    <s v="Logic"/>
    <x v="0"/>
    <x v="0"/>
    <x v="0"/>
    <x v="0"/>
    <x v="1"/>
    <x v="37"/>
    <n v="12994.4"/>
    <n v="12999.7"/>
    <n v="1.0004"/>
    <n v="0"/>
    <n v="0"/>
    <n v="5593.4"/>
    <n v="0.4304"/>
    <n v="7401"/>
    <n v="0.5696"/>
    <x v="1"/>
    <n v="-5.3000000000010914"/>
  </r>
  <r>
    <n v="273"/>
    <s v="Lorde"/>
    <x v="2"/>
    <x v="30"/>
    <x v="0"/>
    <x v="5"/>
    <x v="1"/>
    <x v="19"/>
    <n v="11721"/>
    <n v="11036"/>
    <n v="0.94159999999999999"/>
    <n v="689"/>
    <n v="5.8799999999999998E-2"/>
    <n v="10605.6"/>
    <n v="0.90480000000000005"/>
    <n v="1115.4000000000001"/>
    <n v="9.5200000000000007E-2"/>
    <x v="0"/>
    <n v="-4"/>
  </r>
  <r>
    <n v="274"/>
    <s v="Los Ãngeles Azules"/>
    <x v="1"/>
    <x v="7"/>
    <x v="2"/>
    <x v="7"/>
    <x v="0"/>
    <x v="54"/>
    <n v="7838.9"/>
    <n v="7528"/>
    <n v="0.96030000000000004"/>
    <n v="310.89999999999998"/>
    <n v="3.9699999999999999E-2"/>
    <n v="2829.8"/>
    <n v="0.36099999999999999"/>
    <n v="5009.1000000000004"/>
    <n v="0.63900000000000001"/>
    <x v="0"/>
    <n v="0"/>
  </r>
  <r>
    <n v="275"/>
    <s v="Los Temerarios"/>
    <x v="0"/>
    <x v="7"/>
    <x v="2"/>
    <x v="7"/>
    <x v="0"/>
    <x v="50"/>
    <n v="7059.2"/>
    <n v="6607.2"/>
    <n v="0.93600000000000005"/>
    <n v="446.9"/>
    <n v="6.3299999999999995E-2"/>
    <n v="7059.2"/>
    <n v="1"/>
    <n v="0"/>
    <n v="0"/>
    <x v="0"/>
    <n v="5.1000000000003638"/>
  </r>
  <r>
    <n v="276"/>
    <s v="Lost Frequencies"/>
    <x v="0"/>
    <x v="31"/>
    <x v="0"/>
    <x v="6"/>
    <x v="1"/>
    <x v="0"/>
    <n v="8699.2000000000007"/>
    <n v="8316.2000000000007"/>
    <n v="0.95599999999999996"/>
    <n v="386.2"/>
    <n v="4.4400000000000002E-2"/>
    <n v="1923.6"/>
    <n v="0.22109999999999999"/>
    <n v="6775.6"/>
    <n v="0.77890000000000004"/>
    <x v="0"/>
    <n v="-3.2000000000007276"/>
  </r>
  <r>
    <n v="277"/>
    <s v="Luan Santana"/>
    <x v="0"/>
    <x v="10"/>
    <x v="4"/>
    <x v="10"/>
    <x v="1"/>
    <x v="37"/>
    <n v="7416.8"/>
    <n v="4668.1000000000004"/>
    <n v="0.62939999999999996"/>
    <n v="2767"/>
    <n v="0.37309999999999999"/>
    <n v="4913.6000000000004"/>
    <n v="0.66249999999999998"/>
    <n v="2503.1999999999998"/>
    <n v="0.33750000000000002"/>
    <x v="0"/>
    <n v="-18.300000000000182"/>
  </r>
  <r>
    <n v="278"/>
    <s v="Ludacris"/>
    <x v="0"/>
    <x v="0"/>
    <x v="0"/>
    <x v="0"/>
    <x v="1"/>
    <x v="34"/>
    <n v="10293"/>
    <n v="6016.2"/>
    <n v="0.58450000000000002"/>
    <n v="4284.3"/>
    <n v="0.41620000000000001"/>
    <n v="745.9"/>
    <n v="7.2499999999999995E-2"/>
    <n v="9547.1"/>
    <n v="0.92749999999999999"/>
    <x v="0"/>
    <n v="-7.5"/>
  </r>
  <r>
    <n v="279"/>
    <s v="Luis Fonsi"/>
    <x v="0"/>
    <x v="0"/>
    <x v="2"/>
    <x v="7"/>
    <x v="1"/>
    <x v="28"/>
    <n v="9862.6"/>
    <n v="4889.8"/>
    <n v="0.49580000000000002"/>
    <n v="4976.3999999999996"/>
    <n v="0.50460000000000005"/>
    <n v="1538.9"/>
    <n v="0.156"/>
    <n v="8323.7000000000007"/>
    <n v="0.84399999999999997"/>
    <x v="0"/>
    <n v="-3.6000000000003638"/>
  </r>
  <r>
    <n v="280"/>
    <s v="Luis Miguel"/>
    <x v="0"/>
    <x v="7"/>
    <x v="2"/>
    <x v="7"/>
    <x v="1"/>
    <x v="54"/>
    <n v="17314.099999999999"/>
    <n v="17301.5"/>
    <n v="0.99929999999999997"/>
    <n v="20"/>
    <n v="1.1999999999999999E-3"/>
    <n v="17281"/>
    <n v="0.99809999999999999"/>
    <n v="33.1"/>
    <n v="1.9E-3"/>
    <x v="0"/>
    <n v="-7.4000000000014552"/>
  </r>
  <r>
    <n v="281"/>
    <s v="Luis R Conriquez"/>
    <x v="0"/>
    <x v="7"/>
    <x v="2"/>
    <x v="8"/>
    <x v="1"/>
    <x v="29"/>
    <n v="12810.9"/>
    <n v="6582.9"/>
    <n v="0.51390000000000002"/>
    <n v="6236.2"/>
    <n v="0.48680000000000001"/>
    <n v="1707.5"/>
    <n v="0.1333"/>
    <n v="11103.4"/>
    <n v="0.86670000000000003"/>
    <x v="0"/>
    <n v="-8.1999999999989086"/>
  </r>
  <r>
    <n v="282"/>
    <s v="Luke Bryan"/>
    <x v="0"/>
    <x v="0"/>
    <x v="0"/>
    <x v="19"/>
    <x v="1"/>
    <x v="1"/>
    <n v="9213.5"/>
    <n v="9212.7000000000007"/>
    <n v="0.99990000000000001"/>
    <n v="8.3000000000000007"/>
    <n v="8.9999999999999998E-4"/>
    <n v="7646.2"/>
    <n v="0.82989999999999997"/>
    <n v="1567.3"/>
    <n v="0.1701"/>
    <x v="0"/>
    <n v="-7.5"/>
  </r>
  <r>
    <n v="283"/>
    <s v="Luke Combs"/>
    <x v="0"/>
    <x v="0"/>
    <x v="0"/>
    <x v="19"/>
    <x v="1"/>
    <x v="0"/>
    <n v="19101.599999999999"/>
    <n v="17465.400000000001"/>
    <n v="0.9143"/>
    <n v="1647.2"/>
    <n v="8.6199999999999999E-2"/>
    <n v="16648"/>
    <n v="0.87160000000000004"/>
    <n v="2453.6"/>
    <n v="0.12839999999999999"/>
    <x v="0"/>
    <n v="-11.000000000003638"/>
  </r>
  <r>
    <n v="284"/>
    <s v="MÃ˜"/>
    <x v="2"/>
    <x v="32"/>
    <x v="0"/>
    <x v="5"/>
    <x v="1"/>
    <x v="24"/>
    <n v="7335.2"/>
    <n v="6735.6"/>
    <n v="0.91830000000000001"/>
    <n v="602"/>
    <n v="8.2100000000000006E-2"/>
    <n v="1341.8"/>
    <n v="0.18290000000000001"/>
    <n v="5993.4"/>
    <n v="0.81710000000000005"/>
    <x v="0"/>
    <n v="-2.4000000000005457"/>
  </r>
  <r>
    <n v="285"/>
    <s v="MÃ¥neskin"/>
    <x v="1"/>
    <x v="33"/>
    <x v="10"/>
    <x v="1"/>
    <x v="0"/>
    <x v="5"/>
    <n v="9899.4"/>
    <n v="9883"/>
    <n v="0.99829999999999997"/>
    <n v="20.100000000000001"/>
    <n v="2E-3"/>
    <n v="9351.9"/>
    <n v="0.94469999999999998"/>
    <n v="547.5"/>
    <n v="5.5300000000000002E-2"/>
    <x v="0"/>
    <n v="-3.7000000000007276"/>
  </r>
  <r>
    <n v="286"/>
    <s v="Mac DeMarco"/>
    <x v="0"/>
    <x v="9"/>
    <x v="0"/>
    <x v="1"/>
    <x v="1"/>
    <x v="19"/>
    <n v="9970.2000000000007"/>
    <n v="9813.7000000000007"/>
    <n v="0.98429999999999995"/>
    <n v="161.5"/>
    <n v="1.6199999999999999E-2"/>
    <n v="9795.7999999999993"/>
    <n v="0.98250000000000004"/>
    <n v="174.4"/>
    <n v="1.7500000000000002E-2"/>
    <x v="0"/>
    <n v="-5"/>
  </r>
  <r>
    <n v="287"/>
    <s v="Mac Miller"/>
    <x v="0"/>
    <x v="0"/>
    <x v="0"/>
    <x v="0"/>
    <x v="1"/>
    <x v="1"/>
    <n v="20091.099999999999"/>
    <n v="18765.5"/>
    <n v="0.93400000000000005"/>
    <n v="1328"/>
    <n v="6.6100000000000006E-2"/>
    <n v="12865.2"/>
    <n v="0.64029999999999998"/>
    <n v="7225.9"/>
    <n v="0.35970000000000002"/>
    <x v="0"/>
    <n v="-2.4000000000014552"/>
  </r>
  <r>
    <n v="288"/>
    <s v="Macklemore"/>
    <x v="0"/>
    <x v="0"/>
    <x v="0"/>
    <x v="0"/>
    <x v="1"/>
    <x v="43"/>
    <n v="12593.2"/>
    <n v="6266"/>
    <n v="0.49759999999999999"/>
    <n v="6330.7"/>
    <n v="0.50270000000000004"/>
    <n v="351.5"/>
    <n v="2.7900000000000001E-2"/>
    <n v="12241.7"/>
    <n v="0.97209999999999996"/>
    <x v="0"/>
    <n v="-3.5"/>
  </r>
  <r>
    <n v="289"/>
    <s v="Macklemore &amp; Ryan Lewis"/>
    <x v="1"/>
    <x v="0"/>
    <x v="0"/>
    <x v="0"/>
    <x v="0"/>
    <x v="37"/>
    <n v="7347.9"/>
    <n v="6711.8"/>
    <n v="0.91339999999999999"/>
    <n v="643.70000000000005"/>
    <n v="8.7599999999999997E-2"/>
    <n v="114.9"/>
    <n v="1.5599999999999999E-2"/>
    <n v="7233"/>
    <n v="0.98440000000000005"/>
    <x v="0"/>
    <n v="-7.6000000000003638"/>
  </r>
  <r>
    <n v="290"/>
    <s v="Madonna"/>
    <x v="2"/>
    <x v="0"/>
    <x v="0"/>
    <x v="5"/>
    <x v="1"/>
    <x v="54"/>
    <n v="11879.6"/>
    <n v="10122.700000000001"/>
    <n v="0.85209999999999997"/>
    <n v="1768.2"/>
    <n v="0.14879999999999999"/>
    <n v="8527.5"/>
    <n v="0.71779999999999999"/>
    <n v="3352.1"/>
    <n v="0.28220000000000001"/>
    <x v="0"/>
    <n v="-11.300000000001091"/>
  </r>
  <r>
    <n v="291"/>
    <s v="Magenta"/>
    <x v="2"/>
    <x v="33"/>
    <x v="10"/>
    <x v="5"/>
    <x v="1"/>
    <x v="53"/>
    <n v="7239.7"/>
    <n v="0"/>
    <n v="0"/>
    <n v="7239.7"/>
    <n v="1"/>
    <n v="0"/>
    <n v="0"/>
    <n v="7239.7"/>
    <n v="1"/>
    <x v="0"/>
    <n v="0"/>
  </r>
  <r>
    <n v="292"/>
    <s v="Maiara &amp; Maraisa"/>
    <x v="2"/>
    <x v="10"/>
    <x v="4"/>
    <x v="10"/>
    <x v="0"/>
    <x v="20"/>
    <n v="7388.4"/>
    <n v="3471.7"/>
    <n v="0.46989999999999998"/>
    <n v="3933.9"/>
    <n v="0.53239999999999998"/>
    <n v="2317.8000000000002"/>
    <n v="0.31369999999999998"/>
    <n v="5070.6000000000004"/>
    <n v="0.68630000000000002"/>
    <x v="0"/>
    <n v="-17.200000000000728"/>
  </r>
  <r>
    <n v="293"/>
    <s v="Major Lazer"/>
    <x v="1"/>
    <x v="0"/>
    <x v="0"/>
    <x v="6"/>
    <x v="0"/>
    <x v="37"/>
    <n v="13220.4"/>
    <n v="11619.7"/>
    <n v="0.87890000000000001"/>
    <n v="1604"/>
    <n v="0.12130000000000001"/>
    <n v="45.4"/>
    <n v="3.3999999999999998E-3"/>
    <n v="13175"/>
    <n v="0.99660000000000004"/>
    <x v="0"/>
    <n v="-3.3000000000010914"/>
  </r>
  <r>
    <n v="294"/>
    <s v="Maluma"/>
    <x v="0"/>
    <x v="12"/>
    <x v="2"/>
    <x v="7"/>
    <x v="1"/>
    <x v="15"/>
    <n v="34841"/>
    <n v="19449.8"/>
    <n v="0.55820000000000003"/>
    <n v="15404.7"/>
    <n v="0.44209999999999999"/>
    <n v="11616.3"/>
    <n v="0.33339999999999997"/>
    <n v="23224.7"/>
    <n v="0.66659999999999997"/>
    <x v="0"/>
    <n v="-13.5"/>
  </r>
  <r>
    <n v="295"/>
    <s v="Mambo Kingz"/>
    <x v="0"/>
    <x v="0"/>
    <x v="2"/>
    <x v="4"/>
    <x v="0"/>
    <x v="8"/>
    <n v="8457.4"/>
    <n v="369.6"/>
    <n v="4.3700000000000003E-2"/>
    <n v="8087.7"/>
    <n v="0.95630000000000004"/>
    <n v="1.3"/>
    <n v="2.0000000000000001E-4"/>
    <n v="8456.1"/>
    <n v="0.99980000000000002"/>
    <x v="0"/>
    <n v="0.1000000000003638"/>
  </r>
  <r>
    <n v="296"/>
    <s v="ManÃ¡"/>
    <x v="1"/>
    <x v="7"/>
    <x v="2"/>
    <x v="1"/>
    <x v="0"/>
    <x v="55"/>
    <n v="9914.4"/>
    <n v="9921.1"/>
    <n v="1.0006999999999999"/>
    <n v="6.1"/>
    <n v="5.9999999999999995E-4"/>
    <n v="7817.7"/>
    <n v="0.78849999999999998"/>
    <n v="2096.6999999999998"/>
    <n v="0.21149999999999999"/>
    <x v="1"/>
    <n v="-12.800000000001091"/>
  </r>
  <r>
    <n v="297"/>
    <s v="Manuel Turizo"/>
    <x v="0"/>
    <x v="12"/>
    <x v="2"/>
    <x v="7"/>
    <x v="1"/>
    <x v="6"/>
    <n v="18912.7"/>
    <n v="8490.9"/>
    <n v="0.44900000000000001"/>
    <n v="10429.4"/>
    <n v="0.5514"/>
    <n v="5716.7"/>
    <n v="0.30230000000000001"/>
    <n v="13196"/>
    <n v="0.69769999999999999"/>
    <x v="0"/>
    <n v="-7.5999999999985448"/>
  </r>
  <r>
    <n v="298"/>
    <s v="MarÃ­lia MendonÃ§a"/>
    <x v="2"/>
    <x v="10"/>
    <x v="4"/>
    <x v="10"/>
    <x v="1"/>
    <x v="3"/>
    <n v="15528.2"/>
    <n v="7743.7"/>
    <n v="0.49869999999999998"/>
    <n v="7783.6"/>
    <n v="0.50129999999999997"/>
    <n v="7736.5"/>
    <n v="0.49819999999999998"/>
    <n v="7791.7"/>
    <n v="0.50180000000000002"/>
    <x v="0"/>
    <n v="0.90000000000145519"/>
  </r>
  <r>
    <n v="299"/>
    <s v="Marc Anthony"/>
    <x v="0"/>
    <x v="0"/>
    <x v="2"/>
    <x v="7"/>
    <x v="1"/>
    <x v="52"/>
    <n v="9914.5"/>
    <n v="6239"/>
    <n v="0.62929999999999997"/>
    <n v="3689.5"/>
    <n v="0.37209999999999999"/>
    <n v="5931.4"/>
    <n v="0.59830000000000005"/>
    <n v="3983.1"/>
    <n v="0.4017"/>
    <x v="0"/>
    <n v="-14"/>
  </r>
  <r>
    <n v="300"/>
    <s v="Maria Becerra"/>
    <x v="2"/>
    <x v="15"/>
    <x v="2"/>
    <x v="7"/>
    <x v="1"/>
    <x v="25"/>
    <n v="10476.9"/>
    <n v="3977.8"/>
    <n v="0.37969999999999998"/>
    <n v="6499.1"/>
    <n v="0.62029999999999996"/>
    <n v="2597.3000000000002"/>
    <n v="0.24790000000000001"/>
    <n v="7879.6"/>
    <n v="0.75209999999999999"/>
    <x v="0"/>
    <n v="0"/>
  </r>
  <r>
    <n v="301"/>
    <s v="Mariah Carey"/>
    <x v="2"/>
    <x v="0"/>
    <x v="0"/>
    <x v="5"/>
    <x v="1"/>
    <x v="39"/>
    <n v="13650.2"/>
    <n v="12396.8"/>
    <n v="0.90820000000000001"/>
    <n v="1258.3"/>
    <n v="9.2200000000000004E-2"/>
    <n v="10348.700000000001"/>
    <n v="0.7581"/>
    <n v="3301.5"/>
    <n v="0.2419"/>
    <x v="0"/>
    <n v="-4.8999999999978172"/>
  </r>
  <r>
    <n v="302"/>
    <s v="Mark Ronson"/>
    <x v="0"/>
    <x v="1"/>
    <x v="0"/>
    <x v="5"/>
    <x v="1"/>
    <x v="4"/>
    <n v="8366.2999999999993"/>
    <n v="6159.1"/>
    <n v="0.73619999999999997"/>
    <n v="2210.1"/>
    <n v="0.26419999999999999"/>
    <n v="10.3"/>
    <n v="1.1999999999999999E-3"/>
    <n v="8356"/>
    <n v="0.99880000000000002"/>
    <x v="0"/>
    <n v="-2.9000000000014552"/>
  </r>
  <r>
    <n v="303"/>
    <s v="Maroon 5"/>
    <x v="1"/>
    <x v="0"/>
    <x v="0"/>
    <x v="5"/>
    <x v="0"/>
    <x v="22"/>
    <n v="35794.1"/>
    <n v="35585.800000000003"/>
    <n v="0.99419999999999997"/>
    <n v="222.6"/>
    <n v="6.1999999999999998E-3"/>
    <n v="23312.5"/>
    <n v="0.65129999999999999"/>
    <n v="12481.6"/>
    <n v="0.34870000000000001"/>
    <x v="0"/>
    <n v="-14.30000000000291"/>
  </r>
  <r>
    <n v="304"/>
    <s v="Marshmello"/>
    <x v="0"/>
    <x v="0"/>
    <x v="0"/>
    <x v="6"/>
    <x v="1"/>
    <x v="14"/>
    <n v="23705.9"/>
    <n v="17589.400000000001"/>
    <n v="0.74199999999999999"/>
    <n v="6122.5"/>
    <n v="0.25829999999999997"/>
    <n v="1704.1"/>
    <n v="7.1900000000000006E-2"/>
    <n v="22001.8"/>
    <n v="0.92810000000000004"/>
    <x v="0"/>
    <n v="-6"/>
  </r>
  <r>
    <n v="305"/>
    <s v="Martin Garrix"/>
    <x v="0"/>
    <x v="34"/>
    <x v="0"/>
    <x v="6"/>
    <x v="1"/>
    <x v="19"/>
    <n v="13468.7"/>
    <n v="12222.3"/>
    <n v="0.90749999999999997"/>
    <n v="1249.7"/>
    <n v="9.2799999999999994E-2"/>
    <n v="1202.8"/>
    <n v="8.9300000000000004E-2"/>
    <n v="12265.9"/>
    <n v="0.91069999999999995"/>
    <x v="0"/>
    <n v="-3.2999999999992724"/>
  </r>
  <r>
    <n v="306"/>
    <s v="Matheus &amp; Kauan"/>
    <x v="0"/>
    <x v="10"/>
    <x v="4"/>
    <x v="10"/>
    <x v="0"/>
    <x v="15"/>
    <n v="10122.5"/>
    <n v="8138.6"/>
    <n v="0.80400000000000005"/>
    <n v="1988.4"/>
    <n v="0.19639999999999999"/>
    <n v="5614.2"/>
    <n v="0.55459999999999998"/>
    <n v="4508.3"/>
    <n v="0.44540000000000002"/>
    <x v="0"/>
    <n v="-4.5"/>
  </r>
  <r>
    <n v="307"/>
    <s v="Mc IG"/>
    <x v="0"/>
    <x v="10"/>
    <x v="4"/>
    <x v="7"/>
    <x v="1"/>
    <x v="14"/>
    <n v="7387.8"/>
    <n v="2807.5"/>
    <n v="0.38"/>
    <n v="4581"/>
    <n v="0.62009999999999998"/>
    <n v="359.7"/>
    <n v="4.87E-2"/>
    <n v="7028.1"/>
    <n v="0.95130000000000003"/>
    <x v="0"/>
    <n v="-0.6999999999998181"/>
  </r>
  <r>
    <n v="308"/>
    <s v="MC Ryan SP"/>
    <x v="0"/>
    <x v="10"/>
    <x v="4"/>
    <x v="0"/>
    <x v="1"/>
    <x v="25"/>
    <n v="11715.1"/>
    <n v="1404.1"/>
    <n v="0.11990000000000001"/>
    <n v="10305.200000000001"/>
    <n v="0.87970000000000004"/>
    <n v="7.7"/>
    <n v="6.9999999999999999E-4"/>
    <n v="11707.4"/>
    <n v="0.99929999999999997"/>
    <x v="0"/>
    <n v="5.7999999999992724"/>
  </r>
  <r>
    <n v="309"/>
    <s v="Meek Mill"/>
    <x v="0"/>
    <x v="0"/>
    <x v="0"/>
    <x v="0"/>
    <x v="1"/>
    <x v="4"/>
    <n v="10231.200000000001"/>
    <n v="7551.1"/>
    <n v="0.73799999999999999"/>
    <n v="2685"/>
    <n v="0.26240000000000002"/>
    <n v="2118.4"/>
    <n v="0.20710000000000001"/>
    <n v="8112.8"/>
    <n v="0.79290000000000005"/>
    <x v="0"/>
    <n v="-4.8999999999996362"/>
  </r>
  <r>
    <n v="310"/>
    <s v="Megan Thee Stallion"/>
    <x v="2"/>
    <x v="0"/>
    <x v="0"/>
    <x v="0"/>
    <x v="1"/>
    <x v="6"/>
    <n v="13532"/>
    <n v="7853.3"/>
    <n v="0.58040000000000003"/>
    <n v="5683.7"/>
    <n v="0.42"/>
    <n v="4660.7"/>
    <n v="0.34439999999999998"/>
    <n v="8871.2999999999993"/>
    <n v="0.65559999999999996"/>
    <x v="0"/>
    <n v="-5"/>
  </r>
  <r>
    <n v="311"/>
    <s v="Meghan Trainor"/>
    <x v="2"/>
    <x v="0"/>
    <x v="0"/>
    <x v="5"/>
    <x v="1"/>
    <x v="37"/>
    <n v="11817.1"/>
    <n v="9731.6"/>
    <n v="0.82350000000000001"/>
    <n v="2088"/>
    <n v="0.1767"/>
    <n v="7684.3"/>
    <n v="0.65029999999999999"/>
    <n v="4132.8"/>
    <n v="0.34970000000000001"/>
    <x v="0"/>
    <n v="-2.5"/>
  </r>
  <r>
    <n v="312"/>
    <s v="Melanie Martinez"/>
    <x v="2"/>
    <x v="0"/>
    <x v="0"/>
    <x v="5"/>
    <x v="1"/>
    <x v="0"/>
    <n v="11632.9"/>
    <n v="11637.4"/>
    <n v="1.0004"/>
    <n v="0"/>
    <n v="0"/>
    <n v="11489.7"/>
    <n v="0.98770000000000002"/>
    <n v="143.19999999999999"/>
    <n v="1.23E-2"/>
    <x v="1"/>
    <n v="-4.5"/>
  </r>
  <r>
    <n v="313"/>
    <s v="Metallica"/>
    <x v="0"/>
    <x v="0"/>
    <x v="0"/>
    <x v="1"/>
    <x v="0"/>
    <x v="56"/>
    <n v="18627"/>
    <n v="18557"/>
    <n v="0.99619999999999997"/>
    <n v="77.900000000000006"/>
    <n v="4.1999999999999997E-3"/>
    <n v="18283.099999999999"/>
    <n v="0.98150000000000004"/>
    <n v="343.9"/>
    <n v="1.8499999999999999E-2"/>
    <x v="0"/>
    <n v="-7.9000000000014552"/>
  </r>
  <r>
    <n v="314"/>
    <s v="Metro Boomin"/>
    <x v="0"/>
    <x v="0"/>
    <x v="0"/>
    <x v="0"/>
    <x v="1"/>
    <x v="20"/>
    <n v="28848.7"/>
    <n v="13945.2"/>
    <n v="0.4834"/>
    <n v="14911.9"/>
    <n v="0.51690000000000003"/>
    <n v="119.7"/>
    <n v="4.1000000000000003E-3"/>
    <n v="28729"/>
    <n v="0.99590000000000001"/>
    <x v="0"/>
    <n v="-8.3999999999978172"/>
  </r>
  <r>
    <n v="315"/>
    <s v="mgk"/>
    <x v="0"/>
    <x v="0"/>
    <x v="0"/>
    <x v="0"/>
    <x v="1"/>
    <x v="24"/>
    <n v="13398.3"/>
    <n v="13409.8"/>
    <n v="1.0008999999999999"/>
    <n v="0"/>
    <n v="0"/>
    <n v="4665.5"/>
    <n v="0.34820000000000001"/>
    <n v="8732.7999999999993"/>
    <n v="0.65180000000000005"/>
    <x v="1"/>
    <n v="-11.5"/>
  </r>
  <r>
    <n v="316"/>
    <s v="Michael BublÃ©"/>
    <x v="0"/>
    <x v="9"/>
    <x v="0"/>
    <x v="5"/>
    <x v="1"/>
    <x v="16"/>
    <n v="12647.5"/>
    <n v="11934"/>
    <n v="0.94359999999999999"/>
    <n v="715.4"/>
    <n v="5.6599999999999998E-2"/>
    <n v="10362.700000000001"/>
    <n v="0.81930000000000003"/>
    <n v="2284.8000000000002"/>
    <n v="0.1807"/>
    <x v="0"/>
    <n v="-1.8999999999996362"/>
  </r>
  <r>
    <n v="317"/>
    <s v="Michael Jackson"/>
    <x v="0"/>
    <x v="0"/>
    <x v="0"/>
    <x v="5"/>
    <x v="1"/>
    <x v="57"/>
    <n v="25264.400000000001"/>
    <n v="24355.5"/>
    <n v="0.96399999999999997"/>
    <n v="908.9"/>
    <n v="3.5999999999999997E-2"/>
    <n v="22915.3"/>
    <n v="0.90700000000000003"/>
    <n v="2349.1"/>
    <n v="9.2999999999999999E-2"/>
    <x v="0"/>
    <n v="0"/>
  </r>
  <r>
    <n v="318"/>
    <s v="Migos"/>
    <x v="0"/>
    <x v="0"/>
    <x v="0"/>
    <x v="0"/>
    <x v="0"/>
    <x v="20"/>
    <n v="15562.1"/>
    <n v="13694"/>
    <n v="0.88"/>
    <n v="1874.1"/>
    <n v="0.12039999999999999"/>
    <n v="4814.8999999999996"/>
    <n v="0.30940000000000001"/>
    <n v="10747.2"/>
    <n v="0.69059999999999999"/>
    <x v="0"/>
    <n v="-6"/>
  </r>
  <r>
    <n v="319"/>
    <s v="Miguel"/>
    <x v="0"/>
    <x v="0"/>
    <x v="0"/>
    <x v="2"/>
    <x v="1"/>
    <x v="15"/>
    <n v="13065.7"/>
    <n v="7612.4"/>
    <n v="0.58260000000000001"/>
    <n v="5460.1"/>
    <n v="0.41789999999999999"/>
    <n v="5541.7"/>
    <n v="0.42409999999999998"/>
    <n v="7524"/>
    <n v="0.57589999999999997"/>
    <x v="0"/>
    <n v="-6.7999999999992724"/>
  </r>
  <r>
    <n v="320"/>
    <s v="Miley Cyrus"/>
    <x v="2"/>
    <x v="0"/>
    <x v="0"/>
    <x v="5"/>
    <x v="1"/>
    <x v="24"/>
    <n v="23907.599999999999"/>
    <n v="20739"/>
    <n v="0.86750000000000005"/>
    <n v="3175.7"/>
    <n v="0.1328"/>
    <n v="18453.900000000001"/>
    <n v="0.77190000000000003"/>
    <n v="5453.7"/>
    <n v="0.2281"/>
    <x v="0"/>
    <n v="-7.1000000000021828"/>
  </r>
  <r>
    <n v="321"/>
    <s v="Milo j"/>
    <x v="0"/>
    <x v="15"/>
    <x v="2"/>
    <x v="0"/>
    <x v="1"/>
    <x v="18"/>
    <n v="8309.1"/>
    <n v="5592"/>
    <n v="0.67300000000000004"/>
    <n v="2724.4"/>
    <n v="0.32790000000000002"/>
    <n v="3545.8"/>
    <n v="0.42670000000000002"/>
    <n v="4763.3"/>
    <n v="0.57330000000000003"/>
    <x v="0"/>
    <n v="-7.2999999999992724"/>
  </r>
  <r>
    <n v="322"/>
    <s v="Mitski"/>
    <x v="2"/>
    <x v="28"/>
    <x v="0"/>
    <x v="13"/>
    <x v="1"/>
    <x v="19"/>
    <n v="10939.4"/>
    <n v="9358.7999999999993"/>
    <n v="0.85550000000000004"/>
    <n v="1614.9"/>
    <n v="0.14760000000000001"/>
    <n v="10795.1"/>
    <n v="0.98680000000000001"/>
    <n v="144.30000000000001"/>
    <n v="1.32E-2"/>
    <x v="0"/>
    <n v="-34.299999999999272"/>
  </r>
  <r>
    <n v="323"/>
    <s v="Moneybagg Yo"/>
    <x v="0"/>
    <x v="0"/>
    <x v="0"/>
    <x v="0"/>
    <x v="1"/>
    <x v="19"/>
    <n v="7252.1"/>
    <n v="4583.7"/>
    <n v="0.6321"/>
    <n v="2668.4"/>
    <n v="0.3679"/>
    <n v="2499"/>
    <n v="0.34460000000000002"/>
    <n v="4753.1000000000004"/>
    <n v="0.65539999999999998"/>
    <x v="0"/>
    <n v="0"/>
  </r>
  <r>
    <n v="324"/>
    <s v="Mora"/>
    <x v="0"/>
    <x v="0"/>
    <x v="2"/>
    <x v="4"/>
    <x v="1"/>
    <x v="5"/>
    <n v="13291"/>
    <n v="10113.700000000001"/>
    <n v="0.76090000000000002"/>
    <n v="3183.3"/>
    <n v="0.23949999999999999"/>
    <n v="4068.1"/>
    <n v="0.30609999999999998"/>
    <n v="9222.9"/>
    <n v="0.69389999999999996"/>
    <x v="0"/>
    <n v="-6"/>
  </r>
  <r>
    <n v="325"/>
    <s v="Morad"/>
    <x v="0"/>
    <x v="8"/>
    <x v="2"/>
    <x v="0"/>
    <x v="1"/>
    <x v="29"/>
    <n v="7209.6"/>
    <n v="3303.8"/>
    <n v="0.45829999999999999"/>
    <n v="3905.7"/>
    <n v="0.54169999999999996"/>
    <n v="2183.8000000000002"/>
    <n v="0.3029"/>
    <n v="5025.8"/>
    <n v="0.69710000000000005"/>
    <x v="0"/>
    <n v="0.1000000000003638"/>
  </r>
  <r>
    <n v="326"/>
    <s v="Morat"/>
    <x v="0"/>
    <x v="12"/>
    <x v="2"/>
    <x v="7"/>
    <x v="0"/>
    <x v="14"/>
    <n v="14293.7"/>
    <n v="11695.5"/>
    <n v="0.81820000000000004"/>
    <n v="2609"/>
    <n v="0.1825"/>
    <n v="8588.9"/>
    <n v="0.60089999999999999"/>
    <n v="5704.8"/>
    <n v="0.39910000000000001"/>
    <x v="0"/>
    <n v="-10.799999999999272"/>
  </r>
  <r>
    <n v="327"/>
    <s v="Morgan Wallen"/>
    <x v="0"/>
    <x v="0"/>
    <x v="0"/>
    <x v="19"/>
    <x v="1"/>
    <x v="0"/>
    <n v="31171.1"/>
    <n v="26589.9"/>
    <n v="0.85299999999999998"/>
    <n v="4600.3999999999996"/>
    <n v="0.14760000000000001"/>
    <n v="23825.8"/>
    <n v="0.76439999999999997"/>
    <n v="7345.3"/>
    <n v="0.2356"/>
    <x v="0"/>
    <n v="-19.200000000004366"/>
  </r>
  <r>
    <n v="328"/>
    <s v="Mumford &amp; Sons"/>
    <x v="0"/>
    <x v="1"/>
    <x v="0"/>
    <x v="1"/>
    <x v="0"/>
    <x v="37"/>
    <n v="7713.9"/>
    <n v="7713.9"/>
    <n v="1"/>
    <n v="0"/>
    <n v="0"/>
    <n v="7200.6"/>
    <n v="0.9335"/>
    <n v="513.29999999999995"/>
    <n v="6.6500000000000004E-2"/>
    <x v="0"/>
    <n v="0"/>
  </r>
  <r>
    <n v="329"/>
    <s v="Muse"/>
    <x v="0"/>
    <x v="1"/>
    <x v="0"/>
    <x v="1"/>
    <x v="0"/>
    <x v="34"/>
    <n v="9212.4"/>
    <n v="7752.7"/>
    <n v="0.84160000000000001"/>
    <n v="1460.8"/>
    <n v="0.15859999999999999"/>
    <n v="9165"/>
    <n v="0.99490000000000001"/>
    <n v="47.4"/>
    <n v="5.1000000000000004E-3"/>
    <x v="0"/>
    <n v="-1.1000000000003638"/>
  </r>
  <r>
    <n v="330"/>
    <s v="My Chemical Romance"/>
    <x v="0"/>
    <x v="0"/>
    <x v="0"/>
    <x v="1"/>
    <x v="0"/>
    <x v="22"/>
    <n v="10180.200000000001"/>
    <n v="10185.799999999999"/>
    <n v="1.0005999999999999"/>
    <n v="0"/>
    <n v="0"/>
    <n v="10132.799999999999"/>
    <n v="0.99529999999999996"/>
    <n v="47.4"/>
    <n v="4.7000000000000002E-3"/>
    <x v="1"/>
    <n v="-5.5999999999985448"/>
  </r>
  <r>
    <n v="331"/>
    <s v="Myke Towers"/>
    <x v="0"/>
    <x v="0"/>
    <x v="2"/>
    <x v="4"/>
    <x v="1"/>
    <x v="6"/>
    <n v="33620.699999999997"/>
    <n v="14022.5"/>
    <n v="0.41710000000000003"/>
    <n v="19614.7"/>
    <n v="0.58340000000000003"/>
    <n v="9406.6"/>
    <n v="0.27979999999999999"/>
    <n v="24214.1"/>
    <n v="0.72019999999999995"/>
    <x v="0"/>
    <n v="-16.5"/>
  </r>
  <r>
    <n v="332"/>
    <s v="Natanael Cano"/>
    <x v="0"/>
    <x v="7"/>
    <x v="2"/>
    <x v="8"/>
    <x v="1"/>
    <x v="29"/>
    <n v="20300.7"/>
    <n v="13993.4"/>
    <n v="0.68930000000000002"/>
    <n v="6316.3"/>
    <n v="0.31109999999999999"/>
    <n v="7574.2"/>
    <n v="0.37309999999999999"/>
    <n v="12726.5"/>
    <n v="0.62690000000000001"/>
    <x v="0"/>
    <n v="-9"/>
  </r>
  <r>
    <n v="333"/>
    <s v="Nate Dogg"/>
    <x v="0"/>
    <x v="0"/>
    <x v="0"/>
    <x v="0"/>
    <x v="1"/>
    <x v="7"/>
    <n v="8235.9"/>
    <n v="1236.7"/>
    <n v="0.1502"/>
    <n v="6999.2"/>
    <n v="0.8498"/>
    <n v="228.2"/>
    <n v="2.7699999999999999E-2"/>
    <n v="8007.7"/>
    <n v="0.97230000000000005"/>
    <x v="0"/>
    <n v="0"/>
  </r>
  <r>
    <n v="334"/>
    <s v="NATTI NATASHA"/>
    <x v="2"/>
    <x v="24"/>
    <x v="2"/>
    <x v="4"/>
    <x v="1"/>
    <x v="15"/>
    <n v="8960.1"/>
    <n v="3564"/>
    <n v="0.39779999999999999"/>
    <n v="5398.2"/>
    <n v="0.60250000000000004"/>
    <n v="687.9"/>
    <n v="7.6799999999999993E-2"/>
    <n v="8272.2000000000007"/>
    <n v="0.92320000000000002"/>
    <x v="0"/>
    <n v="-2.1000000000003638"/>
  </r>
  <r>
    <n v="335"/>
    <s v="NAV"/>
    <x v="0"/>
    <x v="9"/>
    <x v="0"/>
    <x v="0"/>
    <x v="1"/>
    <x v="5"/>
    <n v="8564.4"/>
    <n v="5619.6"/>
    <n v="0.65620000000000001"/>
    <n v="2944.9"/>
    <n v="0.34389999999999998"/>
    <n v="1852.6"/>
    <n v="0.21629999999999999"/>
    <n v="6711.8"/>
    <n v="0.78369999999999995"/>
    <x v="0"/>
    <n v="-0.1000000000003638"/>
  </r>
  <r>
    <n v="336"/>
    <s v="Nelly"/>
    <x v="0"/>
    <x v="0"/>
    <x v="0"/>
    <x v="0"/>
    <x v="1"/>
    <x v="43"/>
    <n v="7729.6"/>
    <n v="6445.6"/>
    <n v="0.83389999999999997"/>
    <n v="1287.7"/>
    <n v="0.1666"/>
    <n v="2355.3000000000002"/>
    <n v="0.30470000000000003"/>
    <n v="5374.3"/>
    <n v="0.69530000000000003"/>
    <x v="0"/>
    <n v="-3.6999999999998181"/>
  </r>
  <r>
    <n v="337"/>
    <s v="Nelly Furtado"/>
    <x v="2"/>
    <x v="9"/>
    <x v="0"/>
    <x v="5"/>
    <x v="1"/>
    <x v="43"/>
    <n v="7628.1"/>
    <n v="6657.6"/>
    <n v="0.87280000000000002"/>
    <n v="974.8"/>
    <n v="0.1278"/>
    <n v="3569"/>
    <n v="0.46789999999999998"/>
    <n v="4059.1"/>
    <n v="0.53210000000000002"/>
    <x v="0"/>
    <n v="-4.3000000000001819"/>
  </r>
  <r>
    <n v="338"/>
    <s v="Neton Vega"/>
    <x v="0"/>
    <x v="7"/>
    <x v="2"/>
    <x v="7"/>
    <x v="1"/>
    <x v="58"/>
    <n v="9854"/>
    <n v="8668.1"/>
    <n v="0.87970000000000004"/>
    <n v="1197.3"/>
    <n v="0.1215"/>
    <n v="2611.1"/>
    <n v="0.26500000000000001"/>
    <n v="7242.9"/>
    <n v="0.73499999999999999"/>
    <x v="0"/>
    <n v="-11.399999999999636"/>
  </r>
  <r>
    <n v="339"/>
    <s v="NewJeans"/>
    <x v="2"/>
    <x v="16"/>
    <x v="7"/>
    <x v="15"/>
    <x v="0"/>
    <x v="48"/>
    <n v="7886.9"/>
    <n v="7880.6"/>
    <n v="0.99919999999999998"/>
    <n v="5.3"/>
    <n v="6.9999999999999999E-4"/>
    <n v="7566"/>
    <n v="0.95930000000000004"/>
    <n v="320.89999999999998"/>
    <n v="4.07E-2"/>
    <x v="0"/>
    <n v="0.99999999999909051"/>
  </r>
  <r>
    <n v="340"/>
    <s v="Ne-Yo"/>
    <x v="0"/>
    <x v="0"/>
    <x v="0"/>
    <x v="2"/>
    <x v="1"/>
    <x v="24"/>
    <n v="14888.6"/>
    <n v="8808.5"/>
    <n v="0.59160000000000001"/>
    <n v="6090.2"/>
    <n v="0.40910000000000002"/>
    <n v="8012"/>
    <n v="0.53810000000000002"/>
    <n v="6876.6"/>
    <n v="0.46189999999999998"/>
    <x v="0"/>
    <n v="-10.100000000000364"/>
  </r>
  <r>
    <n v="341"/>
    <s v="NF"/>
    <x v="0"/>
    <x v="0"/>
    <x v="0"/>
    <x v="0"/>
    <x v="1"/>
    <x v="15"/>
    <n v="13891.9"/>
    <n v="9309.2000000000007"/>
    <n v="0.67010000000000003"/>
    <n v="4586.6000000000004"/>
    <n v="0.33019999999999999"/>
    <n v="12293.1"/>
    <n v="0.88490000000000002"/>
    <n v="1598.8"/>
    <n v="0.11509999999999999"/>
    <x v="0"/>
    <n v="-3.9000000000014552"/>
  </r>
  <r>
    <n v="342"/>
    <s v="Niall Horan"/>
    <x v="0"/>
    <x v="27"/>
    <x v="0"/>
    <x v="5"/>
    <x v="1"/>
    <x v="15"/>
    <n v="8263"/>
    <n v="3585.1"/>
    <n v="0.43390000000000001"/>
    <n v="4693.6000000000004"/>
    <n v="0.56799999999999995"/>
    <n v="6241"/>
    <n v="0.75529999999999997"/>
    <n v="2022"/>
    <n v="0.2447"/>
    <x v="0"/>
    <n v="-15.700000000000728"/>
  </r>
  <r>
    <n v="343"/>
    <s v="Nickelback"/>
    <x v="0"/>
    <x v="9"/>
    <x v="0"/>
    <x v="1"/>
    <x v="0"/>
    <x v="23"/>
    <n v="9933.4"/>
    <n v="9932.9"/>
    <n v="0.99990000000000001"/>
    <n v="6.1"/>
    <n v="5.9999999999999995E-4"/>
    <n v="9864.7000000000007"/>
    <n v="0.99309999999999998"/>
    <n v="68.7"/>
    <n v="6.8999999999999999E-3"/>
    <x v="0"/>
    <n v="-5.6000000000003638"/>
  </r>
  <r>
    <n v="344"/>
    <s v="Nicki Minaj"/>
    <x v="2"/>
    <x v="35"/>
    <x v="0"/>
    <x v="0"/>
    <x v="1"/>
    <x v="1"/>
    <n v="43330.3"/>
    <n v="16316.4"/>
    <n v="0.37659999999999999"/>
    <n v="27027.9"/>
    <n v="0.62380000000000002"/>
    <n v="9618.2000000000007"/>
    <n v="0.222"/>
    <n v="33712.1"/>
    <n v="0.77800000000000002"/>
    <x v="0"/>
    <n v="-14"/>
  </r>
  <r>
    <n v="345"/>
    <s v="Nicki Nicole"/>
    <x v="2"/>
    <x v="15"/>
    <x v="2"/>
    <x v="7"/>
    <x v="1"/>
    <x v="25"/>
    <n v="7256.2"/>
    <n v="2470.4"/>
    <n v="0.34050000000000002"/>
    <n v="4785.8"/>
    <n v="0.65949999999999998"/>
    <n v="976.1"/>
    <n v="0.13450000000000001"/>
    <n v="6280.1"/>
    <n v="0.86550000000000005"/>
    <x v="0"/>
    <n v="0"/>
  </r>
  <r>
    <n v="346"/>
    <s v="Nicky Jam"/>
    <x v="0"/>
    <x v="0"/>
    <x v="2"/>
    <x v="4"/>
    <x v="1"/>
    <x v="30"/>
    <n v="25875.4"/>
    <n v="11175.4"/>
    <n v="0.43190000000000001"/>
    <n v="14672"/>
    <n v="0.56699999999999995"/>
    <n v="2972.5"/>
    <n v="0.1149"/>
    <n v="22902.9"/>
    <n v="0.8851"/>
    <x v="0"/>
    <n v="28"/>
  </r>
  <r>
    <n v="347"/>
    <s v="Ninho"/>
    <x v="0"/>
    <x v="22"/>
    <x v="8"/>
    <x v="0"/>
    <x v="1"/>
    <x v="5"/>
    <n v="11459.5"/>
    <n v="7069.7"/>
    <n v="0.6169"/>
    <n v="4399.6000000000004"/>
    <n v="0.38390000000000002"/>
    <n v="5201.3999999999996"/>
    <n v="0.45390000000000003"/>
    <n v="6258.1"/>
    <n v="0.54610000000000003"/>
    <x v="0"/>
    <n v="-9.7999999999992724"/>
  </r>
  <r>
    <n v="348"/>
    <s v="Nirvana"/>
    <x v="0"/>
    <x v="0"/>
    <x v="0"/>
    <x v="1"/>
    <x v="0"/>
    <x v="13"/>
    <n v="16228.7"/>
    <n v="16236"/>
    <n v="1.0004"/>
    <n v="0"/>
    <n v="0"/>
    <n v="16228.7"/>
    <n v="1"/>
    <n v="0"/>
    <n v="0"/>
    <x v="1"/>
    <n v="-7.2999999999992724"/>
  </r>
  <r>
    <n v="349"/>
    <s v="NLE Choppa"/>
    <x v="0"/>
    <x v="0"/>
    <x v="0"/>
    <x v="0"/>
    <x v="1"/>
    <x v="29"/>
    <n v="8453.7000000000007"/>
    <n v="6568.5"/>
    <n v="0.77700000000000002"/>
    <n v="1885.2"/>
    <n v="0.223"/>
    <n v="4039.2"/>
    <n v="0.4778"/>
    <n v="4414.5"/>
    <n v="0.5222"/>
    <x v="0"/>
    <n v="0"/>
  </r>
  <r>
    <n v="350"/>
    <s v="Noah Kahan"/>
    <x v="0"/>
    <x v="0"/>
    <x v="0"/>
    <x v="17"/>
    <x v="1"/>
    <x v="5"/>
    <n v="13543.1"/>
    <n v="12815.1"/>
    <n v="0.94620000000000004"/>
    <n v="728"/>
    <n v="5.3800000000000001E-2"/>
    <n v="10726.1"/>
    <n v="0.79200000000000004"/>
    <n v="2817"/>
    <n v="0.20799999999999999"/>
    <x v="0"/>
    <n v="0"/>
  </r>
  <r>
    <n v="351"/>
    <s v="Noriel"/>
    <x v="0"/>
    <x v="0"/>
    <x v="2"/>
    <x v="4"/>
    <x v="1"/>
    <x v="0"/>
    <n v="8216.5"/>
    <n v="760.9"/>
    <n v="9.2600000000000002E-2"/>
    <n v="7455.6"/>
    <n v="0.90739999999999998"/>
    <n v="196.8"/>
    <n v="2.4E-2"/>
    <n v="8019.7"/>
    <n v="0.97599999999999998"/>
    <x v="0"/>
    <n v="0"/>
  </r>
  <r>
    <n v="352"/>
    <s v="Oasis"/>
    <x v="0"/>
    <x v="1"/>
    <x v="0"/>
    <x v="1"/>
    <x v="0"/>
    <x v="36"/>
    <n v="11063.6"/>
    <n v="11073.6"/>
    <n v="1.0008999999999999"/>
    <n v="0"/>
    <n v="0"/>
    <n v="11061.4"/>
    <n v="0.99980000000000002"/>
    <n v="2.2000000000000002"/>
    <n v="2.0000000000000001E-4"/>
    <x v="1"/>
    <n v="-10"/>
  </r>
  <r>
    <n v="353"/>
    <s v="Offset"/>
    <x v="0"/>
    <x v="0"/>
    <x v="0"/>
    <x v="0"/>
    <x v="1"/>
    <x v="14"/>
    <n v="14402.6"/>
    <n v="13416.1"/>
    <n v="0.93149999999999999"/>
    <n v="990"/>
    <n v="6.8699999999999997E-2"/>
    <n v="791.1"/>
    <n v="5.4899999999999997E-2"/>
    <n v="13611.5"/>
    <n v="0.94510000000000005"/>
    <x v="0"/>
    <n v="-3.5"/>
  </r>
  <r>
    <n v="354"/>
    <s v="Olivia Dean"/>
    <x v="2"/>
    <x v="1"/>
    <x v="0"/>
    <x v="9"/>
    <x v="1"/>
    <x v="29"/>
    <n v="7892.9"/>
    <n v="7895.6"/>
    <n v="1.0003"/>
    <n v="0"/>
    <n v="0"/>
    <n v="7164.5"/>
    <n v="0.90769999999999995"/>
    <n v="728.4"/>
    <n v="9.2299999999999993E-2"/>
    <x v="1"/>
    <n v="-2.7000000000007276"/>
  </r>
  <r>
    <n v="355"/>
    <s v="Olivia Rodrigo"/>
    <x v="2"/>
    <x v="0"/>
    <x v="0"/>
    <x v="5"/>
    <x v="1"/>
    <x v="18"/>
    <n v="28799.7"/>
    <n v="28797.599999999999"/>
    <n v="0.99990000000000001"/>
    <n v="2.2000000000000002"/>
    <n v="1E-4"/>
    <n v="26750.5"/>
    <n v="0.92879999999999996"/>
    <n v="2049.1999999999998"/>
    <n v="7.1199999999999999E-2"/>
    <x v="0"/>
    <n v="-9.9999999998544808E-2"/>
  </r>
  <r>
    <n v="356"/>
    <s v="Omar Courtz"/>
    <x v="0"/>
    <x v="0"/>
    <x v="2"/>
    <x v="4"/>
    <x v="1"/>
    <x v="5"/>
    <n v="6972"/>
    <n v="6956"/>
    <n v="0.99770000000000003"/>
    <n v="20.3"/>
    <n v="2.8999999999999998E-3"/>
    <n v="1876.2"/>
    <n v="0.26910000000000001"/>
    <n v="5095.8"/>
    <n v="0.73089999999999999"/>
    <x v="0"/>
    <n v="-4.3000000000001819"/>
  </r>
  <r>
    <n v="357"/>
    <s v="One Direction"/>
    <x v="1"/>
    <x v="1"/>
    <x v="0"/>
    <x v="5"/>
    <x v="0"/>
    <x v="3"/>
    <n v="28889.5"/>
    <n v="28898.2"/>
    <n v="1.0003"/>
    <n v="0"/>
    <n v="0"/>
    <n v="28801.9"/>
    <n v="0.997"/>
    <n v="87.6"/>
    <n v="3.0000000000000001E-3"/>
    <x v="1"/>
    <n v="-8.7000000000007276"/>
  </r>
  <r>
    <n v="358"/>
    <s v="OneRepublic"/>
    <x v="1"/>
    <x v="0"/>
    <x v="0"/>
    <x v="5"/>
    <x v="0"/>
    <x v="1"/>
    <n v="21182.2"/>
    <n v="19519.400000000001"/>
    <n v="0.92149999999999999"/>
    <n v="1669.7"/>
    <n v="7.8799999999999995E-2"/>
    <n v="17506.599999999999"/>
    <n v="0.82650000000000001"/>
    <n v="3675.6"/>
    <n v="0.17349999999999999"/>
    <x v="0"/>
    <n v="-6.9000000000014552"/>
  </r>
  <r>
    <n v="359"/>
    <s v="Oscar Maydon"/>
    <x v="0"/>
    <x v="7"/>
    <x v="2"/>
    <x v="7"/>
    <x v="1"/>
    <x v="46"/>
    <n v="9609"/>
    <n v="5573.7"/>
    <n v="0.57999999999999996"/>
    <n v="4061"/>
    <n v="0.42259999999999998"/>
    <n v="436.8"/>
    <n v="4.5499999999999999E-2"/>
    <n v="9172.2000000000007"/>
    <n v="0.95450000000000002"/>
    <x v="0"/>
    <n v="-25.700000000000728"/>
  </r>
  <r>
    <n v="360"/>
    <s v="Ovy On The Drums"/>
    <x v="0"/>
    <x v="12"/>
    <x v="2"/>
    <x v="4"/>
    <x v="1"/>
    <x v="6"/>
    <n v="7921.6"/>
    <n v="7400.3"/>
    <n v="0.93420000000000003"/>
    <n v="508.4"/>
    <n v="6.4199999999999993E-2"/>
    <n v="7.5"/>
    <n v="8.9999999999999998E-4"/>
    <n v="7914.1"/>
    <n v="0.99909999999999999"/>
    <x v="0"/>
    <n v="12.900000000000546"/>
  </r>
  <r>
    <n v="361"/>
    <s v="Ozuna"/>
    <x v="0"/>
    <x v="0"/>
    <x v="2"/>
    <x v="4"/>
    <x v="1"/>
    <x v="19"/>
    <n v="47649.2"/>
    <n v="20247.099999999999"/>
    <n v="0.4249"/>
    <n v="27418.9"/>
    <n v="0.57540000000000002"/>
    <n v="8621.1"/>
    <n v="0.18090000000000001"/>
    <n v="39028.1"/>
    <n v="0.81910000000000005"/>
    <x v="0"/>
    <n v="-16.80000000000291"/>
  </r>
  <r>
    <n v="362"/>
    <s v="P!nk"/>
    <x v="2"/>
    <x v="0"/>
    <x v="0"/>
    <x v="5"/>
    <x v="1"/>
    <x v="43"/>
    <n v="16271.6"/>
    <n v="7125.4"/>
    <n v="0.43790000000000001"/>
    <n v="9125"/>
    <n v="0.56079999999999997"/>
    <n v="11023"/>
    <n v="0.6774"/>
    <n v="5248.6"/>
    <n v="0.3226"/>
    <x v="0"/>
    <n v="21.200000000000728"/>
  </r>
  <r>
    <n v="363"/>
    <s v="Panic! At The Disco"/>
    <x v="0"/>
    <x v="0"/>
    <x v="0"/>
    <x v="1"/>
    <x v="0"/>
    <x v="21"/>
    <n v="14402.3"/>
    <n v="4417.2"/>
    <n v="0.30669999999999997"/>
    <n v="9988.5"/>
    <n v="0.69350000000000001"/>
    <n v="13038"/>
    <n v="0.90529999999999999"/>
    <n v="1364.3"/>
    <n v="9.4700000000000006E-2"/>
    <x v="0"/>
    <n v="-3.4000000000014552"/>
  </r>
  <r>
    <n v="364"/>
    <s v="Paramore"/>
    <x v="1"/>
    <x v="0"/>
    <x v="0"/>
    <x v="1"/>
    <x v="0"/>
    <x v="21"/>
    <n v="11480.4"/>
    <n v="8241.1"/>
    <n v="0.71779999999999999"/>
    <n v="3243.6"/>
    <n v="0.28249999999999997"/>
    <n v="11420.3"/>
    <n v="0.99480000000000002"/>
    <n v="60.1"/>
    <n v="5.1999999999999998E-3"/>
    <x v="0"/>
    <n v="-4.3000000000010914"/>
  </r>
  <r>
    <n v="365"/>
    <s v="PARTYNEXTDOOR"/>
    <x v="0"/>
    <x v="9"/>
    <x v="0"/>
    <x v="2"/>
    <x v="1"/>
    <x v="20"/>
    <n v="14506.3"/>
    <n v="13237.2"/>
    <n v="0.91249999999999998"/>
    <n v="1275"/>
    <n v="8.7900000000000006E-2"/>
    <n v="7177.2"/>
    <n v="0.49480000000000002"/>
    <n v="7329.1"/>
    <n v="0.50519999999999998"/>
    <x v="0"/>
    <n v="-5.9000000000014552"/>
  </r>
  <r>
    <n v="366"/>
    <s v="Paulo Londra"/>
    <x v="0"/>
    <x v="15"/>
    <x v="2"/>
    <x v="0"/>
    <x v="1"/>
    <x v="5"/>
    <n v="10160.5"/>
    <n v="8082"/>
    <n v="0.7954"/>
    <n v="2081.6999999999998"/>
    <n v="0.2049"/>
    <n v="6415.1"/>
    <n v="0.63139999999999996"/>
    <n v="3745.4"/>
    <n v="0.36859999999999998"/>
    <x v="0"/>
    <n v="-3.2000000000007276"/>
  </r>
  <r>
    <n v="367"/>
    <s v="Pearl Jam"/>
    <x v="0"/>
    <x v="0"/>
    <x v="0"/>
    <x v="1"/>
    <x v="0"/>
    <x v="2"/>
    <n v="7673.1"/>
    <n v="7673.1"/>
    <n v="1"/>
    <n v="0"/>
    <n v="0"/>
    <n v="7659.2"/>
    <n v="0.99819999999999998"/>
    <n v="13.9"/>
    <n v="1.8E-3"/>
    <x v="0"/>
    <n v="0"/>
  </r>
  <r>
    <n v="368"/>
    <s v="Peso Pluma"/>
    <x v="0"/>
    <x v="7"/>
    <x v="2"/>
    <x v="8"/>
    <x v="1"/>
    <x v="46"/>
    <n v="33179.800000000003"/>
    <n v="18699.099999999999"/>
    <n v="0.56359999999999999"/>
    <n v="14501.2"/>
    <n v="0.437"/>
    <n v="3938.3"/>
    <n v="0.1187"/>
    <n v="29241.5"/>
    <n v="0.88129999999999997"/>
    <x v="0"/>
    <n v="-20.5"/>
  </r>
  <r>
    <n v="369"/>
    <s v="Pharrell Williams"/>
    <x v="0"/>
    <x v="0"/>
    <x v="0"/>
    <x v="0"/>
    <x v="1"/>
    <x v="24"/>
    <n v="15952.2"/>
    <n v="4000.7"/>
    <n v="0.25080000000000002"/>
    <n v="11957.2"/>
    <n v="0.74960000000000004"/>
    <n v="2951.3"/>
    <n v="0.185"/>
    <n v="13000.9"/>
    <n v="0.81499999999999995"/>
    <x v="0"/>
    <n v="-5.7000000000007276"/>
  </r>
  <r>
    <n v="370"/>
    <s v="Phil Collins"/>
    <x v="0"/>
    <x v="1"/>
    <x v="0"/>
    <x v="5"/>
    <x v="1"/>
    <x v="33"/>
    <n v="7940.4"/>
    <n v="7942.6"/>
    <n v="1.0003"/>
    <n v="0"/>
    <n v="0"/>
    <n v="7116.9"/>
    <n v="0.89629999999999999"/>
    <n v="823.5"/>
    <n v="0.1037"/>
    <x v="1"/>
    <n v="-2.2000000000007276"/>
  </r>
  <r>
    <n v="371"/>
    <s v="Pink Floyd"/>
    <x v="0"/>
    <x v="1"/>
    <x v="0"/>
    <x v="1"/>
    <x v="0"/>
    <x v="38"/>
    <n v="13404.2"/>
    <n v="11623.7"/>
    <n v="0.86719999999999997"/>
    <n v="1790.5"/>
    <n v="0.1336"/>
    <n v="13400.7"/>
    <n v="0.99970000000000003"/>
    <n v="3.5"/>
    <n v="2.9999999999999997E-4"/>
    <x v="0"/>
    <n v="-10"/>
  </r>
  <r>
    <n v="372"/>
    <s v="Piso 21"/>
    <x v="0"/>
    <x v="12"/>
    <x v="2"/>
    <x v="7"/>
    <x v="0"/>
    <x v="19"/>
    <n v="8164.9"/>
    <n v="7391.5"/>
    <n v="0.90529999999999999"/>
    <n v="775.8"/>
    <n v="9.5000000000000001E-2"/>
    <n v="1621.1"/>
    <n v="0.19850000000000001"/>
    <n v="6543.8"/>
    <n v="0.80149999999999999"/>
    <x v="0"/>
    <n v="-2.4000000000005457"/>
  </r>
  <r>
    <n v="373"/>
    <s v="Pitbull"/>
    <x v="0"/>
    <x v="0"/>
    <x v="0"/>
    <x v="5"/>
    <x v="1"/>
    <x v="8"/>
    <n v="25875.8"/>
    <n v="18250.900000000001"/>
    <n v="0.70530000000000004"/>
    <n v="7641"/>
    <n v="0.29530000000000001"/>
    <n v="2321.6999999999998"/>
    <n v="8.9700000000000002E-2"/>
    <n v="23554.1"/>
    <n v="0.9103"/>
    <x v="0"/>
    <n v="-16.100000000002183"/>
  </r>
  <r>
    <n v="374"/>
    <s v="Plan B"/>
    <x v="0"/>
    <x v="1"/>
    <x v="0"/>
    <x v="0"/>
    <x v="1"/>
    <x v="24"/>
    <n v="10449"/>
    <n v="7062.7"/>
    <n v="0.67589999999999995"/>
    <n v="3394.7"/>
    <n v="0.32490000000000002"/>
    <n v="6337.8"/>
    <n v="0.60650000000000004"/>
    <n v="4111.2"/>
    <n v="0.39350000000000002"/>
    <x v="0"/>
    <n v="-8.3999999999996362"/>
  </r>
  <r>
    <n v="375"/>
    <s v="Playboi Carti"/>
    <x v="0"/>
    <x v="0"/>
    <x v="0"/>
    <x v="0"/>
    <x v="1"/>
    <x v="3"/>
    <n v="25818.400000000001"/>
    <n v="15382.2"/>
    <n v="0.5958"/>
    <n v="10446.9"/>
    <n v="0.40460000000000002"/>
    <n v="10109.799999999999"/>
    <n v="0.3916"/>
    <n v="15708.6"/>
    <n v="0.60840000000000005"/>
    <x v="0"/>
    <n v="-10.69999999999709"/>
  </r>
  <r>
    <n v="376"/>
    <s v="Polo G"/>
    <x v="0"/>
    <x v="0"/>
    <x v="0"/>
    <x v="0"/>
    <x v="1"/>
    <x v="5"/>
    <n v="15252.2"/>
    <n v="13192.5"/>
    <n v="0.86499999999999999"/>
    <n v="2067.1"/>
    <n v="0.13550000000000001"/>
    <n v="7139.4"/>
    <n v="0.46810000000000002"/>
    <n v="8112.8"/>
    <n v="0.53190000000000004"/>
    <x v="0"/>
    <n v="-7.3999999999996362"/>
  </r>
  <r>
    <n v="377"/>
    <s v="Pop Smoke"/>
    <x v="0"/>
    <x v="0"/>
    <x v="0"/>
    <x v="0"/>
    <x v="1"/>
    <x v="29"/>
    <n v="16217.4"/>
    <n v="14631.5"/>
    <n v="0.9022"/>
    <n v="1588.4"/>
    <n v="9.7900000000000001E-2"/>
    <n v="7841.6"/>
    <n v="0.48349999999999999"/>
    <n v="8375.7999999999993"/>
    <n v="0.51649999999999996"/>
    <x v="0"/>
    <n v="-2.5"/>
  </r>
  <r>
    <n v="378"/>
    <s v="Post Malone"/>
    <x v="0"/>
    <x v="0"/>
    <x v="0"/>
    <x v="5"/>
    <x v="1"/>
    <x v="3"/>
    <n v="55028.3"/>
    <n v="48805.599999999999"/>
    <n v="0.88690000000000002"/>
    <n v="6235.6"/>
    <n v="0.1133"/>
    <n v="25419.4"/>
    <n v="0.46189999999999998"/>
    <n v="29608.9"/>
    <n v="0.53810000000000002"/>
    <x v="0"/>
    <n v="-12.899999999994179"/>
  </r>
  <r>
    <n v="379"/>
    <s v="Prince Royce"/>
    <x v="0"/>
    <x v="0"/>
    <x v="2"/>
    <x v="12"/>
    <x v="1"/>
    <x v="15"/>
    <n v="9495.2000000000007"/>
    <n v="6483.6"/>
    <n v="0.68279999999999996"/>
    <n v="3011.7"/>
    <n v="0.31719999999999998"/>
    <n v="4320.3999999999996"/>
    <n v="0.45500000000000002"/>
    <n v="5174.8"/>
    <n v="0.54500000000000004"/>
    <x v="0"/>
    <n v="-9.9999999998544808E-2"/>
  </r>
  <r>
    <n v="380"/>
    <s v="Pritam"/>
    <x v="0"/>
    <x v="3"/>
    <x v="3"/>
    <x v="5"/>
    <x v="1"/>
    <x v="16"/>
    <n v="28543.9"/>
    <n v="25181.4"/>
    <n v="0.88219999999999998"/>
    <n v="3362.5"/>
    <n v="0.1178"/>
    <n v="11.7"/>
    <n v="4.0000000000000002E-4"/>
    <n v="28532.2"/>
    <n v="0.99960000000000004"/>
    <x v="0"/>
    <n v="0"/>
  </r>
  <r>
    <n v="381"/>
    <s v="Quavo"/>
    <x v="0"/>
    <x v="0"/>
    <x v="0"/>
    <x v="0"/>
    <x v="1"/>
    <x v="11"/>
    <n v="19383.5"/>
    <n v="2977.3"/>
    <n v="0.15359999999999999"/>
    <n v="16406.099999999999"/>
    <n v="0.84640000000000004"/>
    <n v="809.7"/>
    <n v="4.1799999999999997E-2"/>
    <n v="18573.8"/>
    <n v="0.95820000000000005"/>
    <x v="0"/>
    <n v="0.10000000000218279"/>
  </r>
  <r>
    <n v="382"/>
    <s v="Queen"/>
    <x v="0"/>
    <x v="1"/>
    <x v="0"/>
    <x v="1"/>
    <x v="0"/>
    <x v="12"/>
    <n v="29370"/>
    <n v="29307.599999999999"/>
    <n v="0.99790000000000001"/>
    <n v="70.8"/>
    <n v="2.3999999999999998E-3"/>
    <n v="26931.7"/>
    <n v="0.91700000000000004"/>
    <n v="2438.3000000000002"/>
    <n v="8.3000000000000004E-2"/>
    <x v="0"/>
    <n v="-8.3999999999978172"/>
  </r>
  <r>
    <n v="383"/>
    <s v="Quevedo"/>
    <x v="0"/>
    <x v="8"/>
    <x v="2"/>
    <x v="4"/>
    <x v="1"/>
    <x v="46"/>
    <n v="14345.2"/>
    <n v="7659.9"/>
    <n v="0.53400000000000003"/>
    <n v="6698.1"/>
    <n v="0.46689999999999998"/>
    <n v="4914.8999999999996"/>
    <n v="0.34260000000000002"/>
    <n v="9430.2999999999993"/>
    <n v="0.65739999999999998"/>
    <x v="0"/>
    <n v="-12.799999999999272"/>
  </r>
  <r>
    <n v="384"/>
    <s v="Radiohead"/>
    <x v="0"/>
    <x v="1"/>
    <x v="0"/>
    <x v="1"/>
    <x v="0"/>
    <x v="7"/>
    <n v="16454.900000000001"/>
    <n v="16461.5"/>
    <n v="1.0004"/>
    <n v="3"/>
    <n v="2.0000000000000001E-4"/>
    <n v="16382.5"/>
    <n v="0.99560000000000004"/>
    <n v="72.400000000000006"/>
    <n v="4.4000000000000003E-3"/>
    <x v="1"/>
    <n v="-9.5999999999985448"/>
  </r>
  <r>
    <n v="385"/>
    <s v="Rae Sremmurd"/>
    <x v="0"/>
    <x v="0"/>
    <x v="0"/>
    <x v="0"/>
    <x v="0"/>
    <x v="20"/>
    <n v="8030.3"/>
    <n v="7270.4"/>
    <n v="0.90539999999999998"/>
    <n v="754.2"/>
    <n v="9.3899999999999997E-2"/>
    <n v="4098.3999999999996"/>
    <n v="0.51039999999999996"/>
    <n v="3931.9"/>
    <n v="0.48959999999999998"/>
    <x v="0"/>
    <n v="5.7000000000007276"/>
  </r>
  <r>
    <n v="386"/>
    <s v="RAF Camora"/>
    <x v="0"/>
    <x v="36"/>
    <x v="6"/>
    <x v="0"/>
    <x v="1"/>
    <x v="24"/>
    <n v="7738.2"/>
    <n v="3470.6"/>
    <n v="0.44850000000000001"/>
    <n v="4267.7"/>
    <n v="0.55149999999999999"/>
    <n v="1580.4"/>
    <n v="0.20419999999999999"/>
    <n v="6157.8"/>
    <n v="0.79579999999999995"/>
    <x v="0"/>
    <n v="-9.9999999999454303E-2"/>
  </r>
  <r>
    <n v="387"/>
    <s v="Rammstein"/>
    <x v="0"/>
    <x v="14"/>
    <x v="6"/>
    <x v="11"/>
    <x v="0"/>
    <x v="30"/>
    <n v="10902.6"/>
    <n v="10910.3"/>
    <n v="1.0006999999999999"/>
    <n v="0"/>
    <n v="0"/>
    <n v="10773.4"/>
    <n v="0.98809999999999998"/>
    <n v="129.19999999999999"/>
    <n v="1.1900000000000001E-2"/>
    <x v="1"/>
    <n v="-7.6999999999989086"/>
  </r>
  <r>
    <n v="388"/>
    <s v="Rauw Alejandro"/>
    <x v="0"/>
    <x v="0"/>
    <x v="2"/>
    <x v="4"/>
    <x v="1"/>
    <x v="0"/>
    <n v="40738.6"/>
    <n v="24898"/>
    <n v="0.61119999999999997"/>
    <n v="15857.7"/>
    <n v="0.38929999999999998"/>
    <n v="10432.5"/>
    <n v="0.25609999999999999"/>
    <n v="30306.1"/>
    <n v="0.74390000000000001"/>
    <x v="0"/>
    <n v="-17.099999999998545"/>
  </r>
  <r>
    <n v="389"/>
    <s v="RAYE"/>
    <x v="2"/>
    <x v="1"/>
    <x v="0"/>
    <x v="5"/>
    <x v="1"/>
    <x v="0"/>
    <n v="9859.6"/>
    <n v="4832.5"/>
    <n v="0.49009999999999998"/>
    <n v="5032.8999999999996"/>
    <n v="0.51049999999999995"/>
    <n v="2441.1"/>
    <n v="0.24759999999999999"/>
    <n v="7418.5"/>
    <n v="0.75239999999999996"/>
    <x v="0"/>
    <n v="-5.7999999999992724"/>
  </r>
  <r>
    <n v="390"/>
    <s v="Red Hot Chili Peppers"/>
    <x v="1"/>
    <x v="0"/>
    <x v="0"/>
    <x v="1"/>
    <x v="0"/>
    <x v="32"/>
    <n v="21873.8"/>
    <n v="21884.2"/>
    <n v="1.0004999999999999"/>
    <n v="0"/>
    <n v="0"/>
    <n v="21872.400000000001"/>
    <n v="0.99990000000000001"/>
    <n v="1.4"/>
    <n v="1E-4"/>
    <x v="1"/>
    <n v="-10.400000000001455"/>
  </r>
  <r>
    <n v="391"/>
    <s v="Reik"/>
    <x v="0"/>
    <x v="7"/>
    <x v="2"/>
    <x v="7"/>
    <x v="0"/>
    <x v="21"/>
    <n v="11853.7"/>
    <n v="9900.6"/>
    <n v="0.83520000000000005"/>
    <n v="1953.1"/>
    <n v="0.1648"/>
    <n v="5248.7"/>
    <n v="0.44280000000000003"/>
    <n v="6605"/>
    <n v="0.55720000000000003"/>
    <x v="0"/>
    <n v="0"/>
  </r>
  <r>
    <n v="392"/>
    <s v="Rels B"/>
    <x v="0"/>
    <x v="8"/>
    <x v="2"/>
    <x v="0"/>
    <x v="1"/>
    <x v="0"/>
    <n v="13734.1"/>
    <n v="11278.9"/>
    <n v="0.82120000000000004"/>
    <n v="2462"/>
    <n v="0.17929999999999999"/>
    <n v="8953.7000000000007"/>
    <n v="0.65190000000000003"/>
    <n v="4780.3999999999996"/>
    <n v="0.34810000000000002"/>
    <x v="0"/>
    <n v="-6.7999999999992724"/>
  </r>
  <r>
    <n v="393"/>
    <s v="Rex Orange County"/>
    <x v="0"/>
    <x v="1"/>
    <x v="0"/>
    <x v="5"/>
    <x v="1"/>
    <x v="14"/>
    <n v="7824.1"/>
    <n v="6895.6"/>
    <n v="0.88129999999999997"/>
    <n v="928.5"/>
    <n v="0.1187"/>
    <n v="6188.5"/>
    <n v="0.79100000000000004"/>
    <n v="1635.6"/>
    <n v="0.20899999999999999"/>
    <x v="0"/>
    <n v="0"/>
  </r>
  <r>
    <n v="394"/>
    <s v="Ricardo Arjona"/>
    <x v="0"/>
    <x v="37"/>
    <x v="2"/>
    <x v="7"/>
    <x v="1"/>
    <x v="49"/>
    <n v="7852.2"/>
    <n v="7854.4"/>
    <n v="1.0003"/>
    <n v="4"/>
    <n v="5.0000000000000001E-4"/>
    <n v="7062"/>
    <n v="0.89939999999999998"/>
    <n v="790.2"/>
    <n v="0.10059999999999999"/>
    <x v="1"/>
    <n v="-6.1999999999998181"/>
  </r>
  <r>
    <n v="395"/>
    <s v="Rick Ross"/>
    <x v="0"/>
    <x v="0"/>
    <x v="0"/>
    <x v="0"/>
    <x v="1"/>
    <x v="24"/>
    <n v="11575.2"/>
    <n v="3209.4"/>
    <n v="0.27729999999999999"/>
    <n v="8365.7999999999993"/>
    <n v="0.72270000000000001"/>
    <n v="747.3"/>
    <n v="6.4600000000000005E-2"/>
    <n v="10827.9"/>
    <n v="0.93540000000000001"/>
    <x v="0"/>
    <n v="0"/>
  </r>
  <r>
    <n v="396"/>
    <s v="Rihanna"/>
    <x v="2"/>
    <x v="38"/>
    <x v="0"/>
    <x v="5"/>
    <x v="1"/>
    <x v="21"/>
    <n v="60670.7"/>
    <n v="44824.4"/>
    <n v="0.73880000000000001"/>
    <n v="15846.4"/>
    <n v="0.26119999999999999"/>
    <n v="30261.8"/>
    <n v="0.49880000000000002"/>
    <n v="30408.9"/>
    <n v="0.50119999999999998"/>
    <x v="0"/>
    <n v="-0.10000000000582077"/>
  </r>
  <r>
    <n v="397"/>
    <s v="Rita Ora"/>
    <x v="2"/>
    <x v="1"/>
    <x v="0"/>
    <x v="5"/>
    <x v="1"/>
    <x v="19"/>
    <n v="7596.7"/>
    <n v="3575.7"/>
    <n v="0.47070000000000001"/>
    <n v="4021"/>
    <n v="0.52929999999999999"/>
    <n v="2786.1"/>
    <n v="0.36680000000000001"/>
    <n v="4810.6000000000004"/>
    <n v="0.63319999999999999"/>
    <x v="0"/>
    <n v="0"/>
  </r>
  <r>
    <n v="398"/>
    <s v="Robin Schulz"/>
    <x v="0"/>
    <x v="14"/>
    <x v="6"/>
    <x v="6"/>
    <x v="1"/>
    <x v="0"/>
    <n v="12403.3"/>
    <n v="7261.2"/>
    <n v="0.58540000000000003"/>
    <n v="5145.8"/>
    <n v="0.41489999999999999"/>
    <n v="376.4"/>
    <n v="3.0300000000000001E-2"/>
    <n v="12026.9"/>
    <n v="0.96970000000000001"/>
    <x v="0"/>
    <n v="-3.7000000000007276"/>
  </r>
  <r>
    <n v="399"/>
    <s v="Rod Wave"/>
    <x v="0"/>
    <x v="0"/>
    <x v="0"/>
    <x v="0"/>
    <x v="1"/>
    <x v="14"/>
    <n v="8148"/>
    <n v="7808"/>
    <n v="0.95830000000000004"/>
    <n v="340"/>
    <n v="4.1700000000000001E-2"/>
    <n v="6616.8"/>
    <n v="0.81210000000000004"/>
    <n v="1531.2"/>
    <n v="0.18790000000000001"/>
    <x v="0"/>
    <n v="0"/>
  </r>
  <r>
    <n v="400"/>
    <s v="Roddy Ricch"/>
    <x v="0"/>
    <x v="0"/>
    <x v="0"/>
    <x v="0"/>
    <x v="1"/>
    <x v="5"/>
    <n v="13692"/>
    <n v="6665"/>
    <n v="0.48680000000000001"/>
    <n v="7030"/>
    <n v="0.51339999999999997"/>
    <n v="4971.3"/>
    <n v="0.36309999999999998"/>
    <n v="8720.7000000000007"/>
    <n v="0.63690000000000002"/>
    <x v="0"/>
    <n v="-3"/>
  </r>
  <r>
    <n v="401"/>
    <s v="Romeo Santos"/>
    <x v="0"/>
    <x v="0"/>
    <x v="2"/>
    <x v="12"/>
    <x v="1"/>
    <x v="3"/>
    <n v="20549.2"/>
    <n v="14249.8"/>
    <n v="0.69340000000000002"/>
    <n v="6311"/>
    <n v="0.30709999999999998"/>
    <n v="8225.7000000000007"/>
    <n v="0.40029999999999999"/>
    <n v="12323.5"/>
    <n v="0.59970000000000001"/>
    <x v="0"/>
    <n v="-11.599999999998545"/>
  </r>
  <r>
    <n v="402"/>
    <s v="ROSALÃA"/>
    <x v="2"/>
    <x v="8"/>
    <x v="2"/>
    <x v="5"/>
    <x v="1"/>
    <x v="6"/>
    <n v="14558.4"/>
    <n v="10084"/>
    <n v="0.69269999999999998"/>
    <n v="4479.1000000000004"/>
    <n v="0.30769999999999997"/>
    <n v="5316.8"/>
    <n v="0.36520000000000002"/>
    <n v="9241.6"/>
    <n v="0.63480000000000003"/>
    <x v="0"/>
    <n v="-4.7000000000007276"/>
  </r>
  <r>
    <n v="403"/>
    <s v="Russ"/>
    <x v="0"/>
    <x v="0"/>
    <x v="0"/>
    <x v="0"/>
    <x v="1"/>
    <x v="3"/>
    <n v="8043.6"/>
    <n v="7678.7"/>
    <n v="0.9546"/>
    <n v="364.9"/>
    <n v="4.5400000000000003E-2"/>
    <n v="6527.6"/>
    <n v="0.8115"/>
    <n v="1516"/>
    <n v="0.1885"/>
    <x v="0"/>
    <n v="0"/>
  </r>
  <r>
    <n v="404"/>
    <s v="Ryan Castro"/>
    <x v="0"/>
    <x v="12"/>
    <x v="2"/>
    <x v="4"/>
    <x v="1"/>
    <x v="5"/>
    <n v="7645.2"/>
    <n v="4203.6000000000004"/>
    <n v="0.54979999999999996"/>
    <n v="3448.5"/>
    <n v="0.4511"/>
    <n v="1809.6"/>
    <n v="0.23669999999999999"/>
    <n v="5835.6"/>
    <n v="0.76329999999999998"/>
    <x v="0"/>
    <n v="-6.9000000000005457"/>
  </r>
  <r>
    <n v="405"/>
    <s v="Ryan Lewis"/>
    <x v="0"/>
    <x v="0"/>
    <x v="0"/>
    <x v="0"/>
    <x v="1"/>
    <x v="11"/>
    <n v="7237.6"/>
    <n v="0"/>
    <n v="0"/>
    <n v="7237.6"/>
    <n v="1"/>
    <n v="0"/>
    <n v="0"/>
    <n v="7237.6"/>
    <n v="1"/>
    <x v="0"/>
    <n v="0"/>
  </r>
  <r>
    <n v="406"/>
    <s v="Sabrina Carpenter"/>
    <x v="2"/>
    <x v="0"/>
    <x v="0"/>
    <x v="5"/>
    <x v="1"/>
    <x v="0"/>
    <n v="24888.6"/>
    <n v="22789.599999999999"/>
    <n v="0.91569999999999996"/>
    <n v="2114.3000000000002"/>
    <n v="8.5000000000000006E-2"/>
    <n v="22549.4"/>
    <n v="0.90600000000000003"/>
    <n v="2339.1999999999998"/>
    <n v="9.4E-2"/>
    <x v="0"/>
    <n v="-15.299999999999272"/>
  </r>
  <r>
    <n v="407"/>
    <s v="Sachin-Jigar"/>
    <x v="0"/>
    <x v="3"/>
    <x v="3"/>
    <x v="3"/>
    <x v="0"/>
    <x v="37"/>
    <n v="8584.2000000000007"/>
    <n v="6741.1"/>
    <n v="0.7853"/>
    <n v="1843.2"/>
    <n v="0.2147"/>
    <n v="20"/>
    <n v="2.3E-3"/>
    <n v="8564.2000000000007"/>
    <n v="0.99770000000000003"/>
    <x v="0"/>
    <n v="-0.1000000000003638"/>
  </r>
  <r>
    <n v="408"/>
    <s v="Sam Smith"/>
    <x v="0"/>
    <x v="1"/>
    <x v="0"/>
    <x v="5"/>
    <x v="1"/>
    <x v="19"/>
    <n v="29197.200000000001"/>
    <n v="24125.8"/>
    <n v="0.82630000000000003"/>
    <n v="5078.3"/>
    <n v="0.1739"/>
    <n v="17995.2"/>
    <n v="0.61629999999999996"/>
    <n v="11202"/>
    <n v="0.38369999999999999"/>
    <x v="0"/>
    <n v="-6.8999999999978172"/>
  </r>
  <r>
    <n v="409"/>
    <s v="ScHoolboy Q"/>
    <x v="0"/>
    <x v="0"/>
    <x v="0"/>
    <x v="0"/>
    <x v="1"/>
    <x v="11"/>
    <n v="7817.3"/>
    <n v="4590.3999999999996"/>
    <n v="0.58720000000000006"/>
    <n v="3227"/>
    <n v="0.4128"/>
    <n v="1655.2"/>
    <n v="0.2117"/>
    <n v="6162.1"/>
    <n v="0.7883"/>
    <x v="0"/>
    <n v="-9.9999999999454303E-2"/>
  </r>
  <r>
    <n v="410"/>
    <s v="Sean Paul"/>
    <x v="0"/>
    <x v="17"/>
    <x v="0"/>
    <x v="16"/>
    <x v="1"/>
    <x v="23"/>
    <n v="18203.3"/>
    <n v="9674.9"/>
    <n v="0.53149999999999997"/>
    <n v="8539.4"/>
    <n v="0.46910000000000002"/>
    <n v="4460.6000000000004"/>
    <n v="0.245"/>
    <n v="13742.7"/>
    <n v="0.755"/>
    <x v="0"/>
    <n v="-11"/>
  </r>
  <r>
    <n v="411"/>
    <s v="Sebastian Yatra"/>
    <x v="0"/>
    <x v="12"/>
    <x v="2"/>
    <x v="7"/>
    <x v="1"/>
    <x v="20"/>
    <n v="16984.3"/>
    <n v="10969.8"/>
    <n v="0.64590000000000003"/>
    <n v="6018.9"/>
    <n v="0.35439999999999999"/>
    <n v="4419.3"/>
    <n v="0.26019999999999999"/>
    <n v="12565"/>
    <n v="0.73980000000000001"/>
    <x v="0"/>
    <n v="-4.3999999999978172"/>
  </r>
  <r>
    <n v="412"/>
    <s v="Sech"/>
    <x v="0"/>
    <x v="39"/>
    <x v="2"/>
    <x v="4"/>
    <x v="1"/>
    <x v="0"/>
    <n v="19528.3"/>
    <n v="7512.9"/>
    <n v="0.38469999999999999"/>
    <n v="12015.4"/>
    <n v="0.61529999999999996"/>
    <n v="2397.8000000000002"/>
    <n v="0.12280000000000001"/>
    <n v="17130.5"/>
    <n v="0.87719999999999998"/>
    <x v="0"/>
    <n v="0"/>
  </r>
  <r>
    <n v="413"/>
    <s v="Selena Gomez"/>
    <x v="2"/>
    <x v="0"/>
    <x v="0"/>
    <x v="5"/>
    <x v="1"/>
    <x v="11"/>
    <n v="26895.1"/>
    <n v="16017.5"/>
    <n v="0.59560000000000002"/>
    <n v="10884.4"/>
    <n v="0.4047"/>
    <n v="10921.5"/>
    <n v="0.40610000000000002"/>
    <n v="15973.6"/>
    <n v="0.59389999999999998"/>
    <x v="0"/>
    <n v="-6.8000000000029104"/>
  </r>
  <r>
    <n v="414"/>
    <s v="SEVENTEEN"/>
    <x v="1"/>
    <x v="16"/>
    <x v="7"/>
    <x v="15"/>
    <x v="0"/>
    <x v="14"/>
    <n v="8531.2999999999993"/>
    <n v="8465.7000000000007"/>
    <n v="0.99229999999999996"/>
    <n v="70"/>
    <n v="8.2000000000000007E-3"/>
    <n v="8284.9"/>
    <n v="0.97109999999999996"/>
    <n v="246.4"/>
    <n v="2.8899999999999999E-2"/>
    <x v="0"/>
    <n v="-4.4000000000014552"/>
  </r>
  <r>
    <n v="415"/>
    <s v="Sfera Ebbasta"/>
    <x v="0"/>
    <x v="33"/>
    <x v="10"/>
    <x v="0"/>
    <x v="1"/>
    <x v="3"/>
    <n v="9437.2999999999993"/>
    <n v="6110.3"/>
    <n v="0.64749999999999996"/>
    <n v="3331.7"/>
    <n v="0.35299999999999998"/>
    <n v="2399.1999999999998"/>
    <n v="0.25419999999999998"/>
    <n v="7038.1"/>
    <n v="0.74580000000000002"/>
    <x v="0"/>
    <n v="-4.7000000000007276"/>
  </r>
  <r>
    <n v="416"/>
    <s v="Shakira"/>
    <x v="2"/>
    <x v="12"/>
    <x v="2"/>
    <x v="7"/>
    <x v="1"/>
    <x v="2"/>
    <n v="31212.400000000001"/>
    <n v="24041"/>
    <n v="0.7702"/>
    <n v="7171.5"/>
    <n v="0.2298"/>
    <n v="11661.1"/>
    <n v="0.37359999999999999"/>
    <n v="19551.3"/>
    <n v="0.62639999999999996"/>
    <x v="0"/>
    <n v="-9.9999999998544808E-2"/>
  </r>
  <r>
    <n v="417"/>
    <s v="Shawn Mendes"/>
    <x v="0"/>
    <x v="9"/>
    <x v="0"/>
    <x v="5"/>
    <x v="1"/>
    <x v="0"/>
    <n v="29471.1"/>
    <n v="28781"/>
    <n v="0.97660000000000002"/>
    <n v="699"/>
    <n v="2.3699999999999999E-2"/>
    <n v="22074.9"/>
    <n v="0.749"/>
    <n v="7396.2"/>
    <n v="0.251"/>
    <x v="0"/>
    <n v="-8.9000000000014552"/>
  </r>
  <r>
    <n v="418"/>
    <s v="Shreya Ghoshal"/>
    <x v="2"/>
    <x v="3"/>
    <x v="3"/>
    <x v="3"/>
    <x v="1"/>
    <x v="22"/>
    <n v="15723"/>
    <n v="2035.3"/>
    <n v="0.12939999999999999"/>
    <n v="13703.9"/>
    <n v="0.87160000000000004"/>
    <n v="690.5"/>
    <n v="4.3900000000000002E-2"/>
    <n v="15032.5"/>
    <n v="0.95609999999999995"/>
    <x v="0"/>
    <n v="-16.199999999998909"/>
  </r>
  <r>
    <n v="419"/>
    <s v="Sia"/>
    <x v="2"/>
    <x v="2"/>
    <x v="0"/>
    <x v="5"/>
    <x v="1"/>
    <x v="53"/>
    <n v="31642.1"/>
    <n v="21063.200000000001"/>
    <n v="0.66569999999999996"/>
    <n v="10588.2"/>
    <n v="0.33460000000000001"/>
    <n v="15741.1"/>
    <n v="0.4975"/>
    <n v="15901"/>
    <n v="0.50249999999999995"/>
    <x v="0"/>
    <n v="-9.3000000000029104"/>
  </r>
  <r>
    <n v="420"/>
    <s v="Skrillex"/>
    <x v="0"/>
    <x v="0"/>
    <x v="0"/>
    <x v="6"/>
    <x v="1"/>
    <x v="15"/>
    <n v="11198.8"/>
    <n v="5328.3"/>
    <n v="0.4758"/>
    <n v="5873.2"/>
    <n v="0.52439999999999998"/>
    <n v="961.9"/>
    <n v="8.5900000000000004E-2"/>
    <n v="10236.9"/>
    <n v="0.91410000000000002"/>
    <x v="0"/>
    <n v="-2.7000000000007276"/>
  </r>
  <r>
    <n v="421"/>
    <s v="Slipknot"/>
    <x v="0"/>
    <x v="0"/>
    <x v="0"/>
    <x v="11"/>
    <x v="0"/>
    <x v="34"/>
    <n v="11051.4"/>
    <n v="11056.2"/>
    <n v="1.0004"/>
    <n v="0"/>
    <n v="0"/>
    <n v="11051.4"/>
    <n v="1"/>
    <n v="0"/>
    <n v="0"/>
    <x v="1"/>
    <n v="-4.8000000000010914"/>
  </r>
  <r>
    <n v="422"/>
    <s v="Snoop Dogg"/>
    <x v="0"/>
    <x v="0"/>
    <x v="0"/>
    <x v="0"/>
    <x v="1"/>
    <x v="59"/>
    <n v="20644.8"/>
    <n v="7762"/>
    <n v="0.376"/>
    <n v="12890.7"/>
    <n v="0.62439999999999996"/>
    <n v="1744.2"/>
    <n v="8.4500000000000006E-2"/>
    <n v="18900.599999999999"/>
    <n v="0.91549999999999998"/>
    <x v="0"/>
    <n v="-7.9000000000014552"/>
  </r>
  <r>
    <n v="423"/>
    <s v="Steve Lacy"/>
    <x v="0"/>
    <x v="0"/>
    <x v="0"/>
    <x v="2"/>
    <x v="1"/>
    <x v="14"/>
    <n v="10368.700000000001"/>
    <n v="9179.2000000000007"/>
    <n v="0.88529999999999998"/>
    <n v="1201.2"/>
    <n v="0.1158"/>
    <n v="8970.6"/>
    <n v="0.86519999999999997"/>
    <n v="1398.1"/>
    <n v="0.1348"/>
    <x v="0"/>
    <n v="-11.700000000000728"/>
  </r>
  <r>
    <n v="424"/>
    <s v="Stevie Wonder"/>
    <x v="0"/>
    <x v="0"/>
    <x v="0"/>
    <x v="9"/>
    <x v="1"/>
    <x v="31"/>
    <n v="8371.5"/>
    <n v="7723.5"/>
    <n v="0.92259999999999998"/>
    <n v="648"/>
    <n v="7.7399999999999997E-2"/>
    <n v="7485.7"/>
    <n v="0.89419999999999999"/>
    <n v="885.8"/>
    <n v="0.10580000000000001"/>
    <x v="0"/>
    <n v="0"/>
  </r>
  <r>
    <n v="425"/>
    <s v="Stray Kids"/>
    <x v="0"/>
    <x v="16"/>
    <x v="7"/>
    <x v="15"/>
    <x v="0"/>
    <x v="29"/>
    <n v="14947.4"/>
    <n v="14819"/>
    <n v="0.99139999999999995"/>
    <n v="136.5"/>
    <n v="9.1000000000000004E-3"/>
    <n v="13482.3"/>
    <n v="0.90200000000000002"/>
    <n v="1465.1"/>
    <n v="9.8000000000000004E-2"/>
    <x v="0"/>
    <n v="-8.1000000000003638"/>
  </r>
  <r>
    <n v="426"/>
    <s v="Summer Walker"/>
    <x v="2"/>
    <x v="0"/>
    <x v="0"/>
    <x v="2"/>
    <x v="1"/>
    <x v="29"/>
    <n v="10756.4"/>
    <n v="7776.1"/>
    <n v="0.72289999999999999"/>
    <n v="2980.3"/>
    <n v="0.27710000000000001"/>
    <n v="3834.9"/>
    <n v="0.35649999999999998"/>
    <n v="6921.5"/>
    <n v="0.64349999999999996"/>
    <x v="0"/>
    <n v="0"/>
  </r>
  <r>
    <n v="427"/>
    <s v="Swae Lee"/>
    <x v="0"/>
    <x v="0"/>
    <x v="0"/>
    <x v="0"/>
    <x v="1"/>
    <x v="15"/>
    <n v="15746"/>
    <n v="502.4"/>
    <n v="3.1899999999999998E-2"/>
    <n v="15243.6"/>
    <n v="0.96809999999999996"/>
    <n v="142.80000000000001"/>
    <n v="9.1000000000000004E-3"/>
    <n v="15603.2"/>
    <n v="0.9909"/>
    <x v="0"/>
    <n v="0"/>
  </r>
  <r>
    <n v="428"/>
    <s v="System Of A Down"/>
    <x v="0"/>
    <x v="0"/>
    <x v="0"/>
    <x v="11"/>
    <x v="0"/>
    <x v="28"/>
    <n v="13009.4"/>
    <n v="13017.1"/>
    <n v="1.0005999999999999"/>
    <n v="0"/>
    <n v="0"/>
    <n v="12963.5"/>
    <n v="0.99650000000000005"/>
    <n v="45.9"/>
    <n v="3.5000000000000001E-3"/>
    <x v="1"/>
    <n v="-7.7000000000007276"/>
  </r>
  <r>
    <n v="429"/>
    <s v="SZA"/>
    <x v="2"/>
    <x v="0"/>
    <x v="0"/>
    <x v="2"/>
    <x v="1"/>
    <x v="19"/>
    <n v="38879.599999999999"/>
    <n v="25267.5"/>
    <n v="0.64990000000000003"/>
    <n v="13627.2"/>
    <n v="0.35049999999999998"/>
    <n v="19804.599999999999"/>
    <n v="0.50939999999999996"/>
    <n v="19075"/>
    <n v="0.49059999999999998"/>
    <x v="0"/>
    <n v="-15.099999999998545"/>
  </r>
  <r>
    <n v="430"/>
    <s v="T.I."/>
    <x v="0"/>
    <x v="0"/>
    <x v="0"/>
    <x v="0"/>
    <x v="1"/>
    <x v="16"/>
    <n v="9084.9"/>
    <n v="4560.6000000000004"/>
    <n v="0.502"/>
    <n v="4524.3"/>
    <n v="0.498"/>
    <n v="1805.2"/>
    <n v="0.19869999999999999"/>
    <n v="7279.7"/>
    <n v="0.80130000000000001"/>
    <x v="0"/>
    <n v="0"/>
  </r>
  <r>
    <n v="431"/>
    <s v="Tainy"/>
    <x v="0"/>
    <x v="0"/>
    <x v="2"/>
    <x v="4"/>
    <x v="1"/>
    <x v="24"/>
    <n v="10933.4"/>
    <n v="10905.7"/>
    <n v="0.99750000000000005"/>
    <n v="38"/>
    <n v="3.5000000000000001E-3"/>
    <n v="8.1"/>
    <n v="6.9999999999999999E-4"/>
    <n v="10925.3"/>
    <n v="0.99929999999999997"/>
    <x v="0"/>
    <n v="-10.300000000001091"/>
  </r>
  <r>
    <n v="432"/>
    <s v="Tame Impala"/>
    <x v="0"/>
    <x v="2"/>
    <x v="0"/>
    <x v="1"/>
    <x v="1"/>
    <x v="11"/>
    <n v="14387.1"/>
    <n v="13232.8"/>
    <n v="0.91979999999999995"/>
    <n v="1165.4000000000001"/>
    <n v="8.1000000000000003E-2"/>
    <n v="12678.8"/>
    <n v="0.88129999999999997"/>
    <n v="1708.3"/>
    <n v="0.1187"/>
    <x v="0"/>
    <n v="-11.099999999998545"/>
  </r>
  <r>
    <n v="433"/>
    <s v="Tanishk Bagchi"/>
    <x v="0"/>
    <x v="3"/>
    <x v="3"/>
    <x v="3"/>
    <x v="1"/>
    <x v="14"/>
    <n v="8733"/>
    <n v="2987.7"/>
    <n v="0.34210000000000002"/>
    <n v="5745.3"/>
    <n v="0.65790000000000004"/>
    <n v="6.8"/>
    <n v="8.0000000000000004E-4"/>
    <n v="8726.2000000000007"/>
    <n v="0.99919999999999998"/>
    <x v="0"/>
    <n v="0"/>
  </r>
  <r>
    <n v="434"/>
    <s v="Tate McRae"/>
    <x v="2"/>
    <x v="9"/>
    <x v="0"/>
    <x v="5"/>
    <x v="1"/>
    <x v="5"/>
    <n v="18707.3"/>
    <n v="16893.7"/>
    <n v="0.90310000000000001"/>
    <n v="1823.3"/>
    <n v="9.7500000000000003E-2"/>
    <n v="15280.9"/>
    <n v="0.81679999999999997"/>
    <n v="3426.4"/>
    <n v="0.1832"/>
    <x v="0"/>
    <n v="-9.7000000000007276"/>
  </r>
  <r>
    <n v="435"/>
    <s v="Taylor Swift"/>
    <x v="2"/>
    <x v="0"/>
    <x v="0"/>
    <x v="5"/>
    <x v="1"/>
    <x v="24"/>
    <n v="127861"/>
    <n v="126177.3"/>
    <n v="0.98680000000000001"/>
    <n v="1683.8"/>
    <n v="1.32E-2"/>
    <n v="113421.5"/>
    <n v="0.8871"/>
    <n v="14439.5"/>
    <n v="0.1129"/>
    <x v="0"/>
    <n v="-0.10000000000582077"/>
  </r>
  <r>
    <n v="436"/>
    <s v="Teddy Swims"/>
    <x v="0"/>
    <x v="0"/>
    <x v="0"/>
    <x v="5"/>
    <x v="1"/>
    <x v="25"/>
    <n v="9177.5"/>
    <n v="7949"/>
    <n v="0.86609999999999998"/>
    <n v="1236.7"/>
    <n v="0.1348"/>
    <n v="7238.3"/>
    <n v="0.78869999999999996"/>
    <n v="1939.2"/>
    <n v="0.21129999999999999"/>
    <x v="0"/>
    <n v="-8.2000000000007276"/>
  </r>
  <r>
    <n v="437"/>
    <s v="The 1975"/>
    <x v="0"/>
    <x v="1"/>
    <x v="0"/>
    <x v="1"/>
    <x v="0"/>
    <x v="19"/>
    <n v="10489.6"/>
    <n v="10191.700000000001"/>
    <n v="0.97160000000000002"/>
    <n v="301.5"/>
    <n v="2.87E-2"/>
    <n v="10165.9"/>
    <n v="0.96909999999999996"/>
    <n v="323.7"/>
    <n v="3.09E-2"/>
    <x v="0"/>
    <n v="-3.6000000000003638"/>
  </r>
  <r>
    <n v="438"/>
    <s v="The Beatles"/>
    <x v="0"/>
    <x v="1"/>
    <x v="0"/>
    <x v="1"/>
    <x v="0"/>
    <x v="31"/>
    <n v="26130.5"/>
    <n v="26138.7"/>
    <n v="1.0003"/>
    <n v="2.2000000000000002"/>
    <n v="1E-4"/>
    <n v="26123"/>
    <n v="0.99970000000000003"/>
    <n v="7.5"/>
    <n v="2.9999999999999997E-4"/>
    <x v="1"/>
    <n v="-10.400000000001455"/>
  </r>
  <r>
    <n v="439"/>
    <s v="The Chainsmokers"/>
    <x v="0"/>
    <x v="0"/>
    <x v="0"/>
    <x v="6"/>
    <x v="0"/>
    <x v="19"/>
    <n v="23845.1"/>
    <n v="22661.5"/>
    <n v="0.95040000000000002"/>
    <n v="1189.8"/>
    <n v="4.99E-2"/>
    <n v="3830.9"/>
    <n v="0.16070000000000001"/>
    <n v="20014.2"/>
    <n v="0.83930000000000005"/>
    <x v="0"/>
    <n v="-6.2000000000007276"/>
  </r>
  <r>
    <n v="440"/>
    <s v="The Cure"/>
    <x v="0"/>
    <x v="1"/>
    <x v="0"/>
    <x v="1"/>
    <x v="0"/>
    <x v="40"/>
    <n v="7034.1"/>
    <n v="7035"/>
    <n v="1.0001"/>
    <n v="3.3"/>
    <n v="5.0000000000000001E-4"/>
    <n v="6940.1"/>
    <n v="0.98660000000000003"/>
    <n v="94"/>
    <n v="1.34E-2"/>
    <x v="1"/>
    <n v="-4.1999999999998181"/>
  </r>
  <r>
    <n v="441"/>
    <s v="The Kid LAROI"/>
    <x v="0"/>
    <x v="2"/>
    <x v="0"/>
    <x v="0"/>
    <x v="1"/>
    <x v="29"/>
    <n v="15561.7"/>
    <n v="10487.9"/>
    <n v="0.67400000000000004"/>
    <n v="5077.6000000000004"/>
    <n v="0.32629999999999998"/>
    <n v="6776.1"/>
    <n v="0.43540000000000001"/>
    <n v="8785.6"/>
    <n v="0.56459999999999999"/>
    <x v="0"/>
    <n v="-3.7999999999992724"/>
  </r>
  <r>
    <n v="442"/>
    <s v="The Killers"/>
    <x v="0"/>
    <x v="0"/>
    <x v="0"/>
    <x v="1"/>
    <x v="0"/>
    <x v="8"/>
    <n v="10767.6"/>
    <n v="1893.8"/>
    <n v="0.1759"/>
    <n v="8878.2000000000007"/>
    <n v="0.82450000000000001"/>
    <n v="10569.4"/>
    <n v="0.98160000000000003"/>
    <n v="198.2"/>
    <n v="1.84E-2"/>
    <x v="0"/>
    <n v="-4.3999999999996362"/>
  </r>
  <r>
    <n v="443"/>
    <s v="The Lumineers"/>
    <x v="0"/>
    <x v="0"/>
    <x v="0"/>
    <x v="17"/>
    <x v="0"/>
    <x v="19"/>
    <n v="9666.1"/>
    <n v="9207.9"/>
    <n v="0.9526"/>
    <n v="460.8"/>
    <n v="4.7699999999999999E-2"/>
    <n v="9168.2999999999993"/>
    <n v="0.94850000000000001"/>
    <n v="497.8"/>
    <n v="5.1499999999999997E-2"/>
    <x v="0"/>
    <n v="-2.5999999999985448"/>
  </r>
  <r>
    <n v="444"/>
    <s v="The MarÃ­as"/>
    <x v="1"/>
    <x v="0"/>
    <x v="0"/>
    <x v="5"/>
    <x v="0"/>
    <x v="5"/>
    <n v="7029.1"/>
    <n v="5774.4"/>
    <n v="0.82150000000000001"/>
    <n v="1261.4000000000001"/>
    <n v="0.17949999999999999"/>
    <n v="5705.9"/>
    <n v="0.81179999999999997"/>
    <n v="1323.2"/>
    <n v="0.18820000000000001"/>
    <x v="0"/>
    <n v="-6.6999999999989086"/>
  </r>
  <r>
    <n v="445"/>
    <s v="The Neighbourhood"/>
    <x v="0"/>
    <x v="0"/>
    <x v="0"/>
    <x v="13"/>
    <x v="0"/>
    <x v="3"/>
    <n v="19440.5"/>
    <n v="19435.599999999999"/>
    <n v="0.99970000000000003"/>
    <n v="14.3"/>
    <n v="6.9999999999999999E-4"/>
    <n v="18793.5"/>
    <n v="0.9667"/>
    <n v="647"/>
    <n v="3.3300000000000003E-2"/>
    <x v="0"/>
    <n v="-9.3999999999978172"/>
  </r>
  <r>
    <n v="446"/>
    <s v="The Notorious B.I.G."/>
    <x v="0"/>
    <x v="0"/>
    <x v="0"/>
    <x v="0"/>
    <x v="1"/>
    <x v="59"/>
    <n v="10968.8"/>
    <n v="5006.3999999999996"/>
    <n v="0.45639999999999997"/>
    <n v="5977.1"/>
    <n v="0.54490000000000005"/>
    <n v="7034.7"/>
    <n v="0.64129999999999998"/>
    <n v="3934.1"/>
    <n v="0.35870000000000002"/>
    <x v="0"/>
    <n v="-14.700000000000728"/>
  </r>
  <r>
    <n v="447"/>
    <s v="The Offspring"/>
    <x v="0"/>
    <x v="0"/>
    <x v="0"/>
    <x v="1"/>
    <x v="0"/>
    <x v="13"/>
    <n v="8330.4"/>
    <n v="8328.6"/>
    <n v="0.99980000000000002"/>
    <n v="5.6"/>
    <n v="6.9999999999999999E-4"/>
    <n v="8188.5"/>
    <n v="0.98299999999999998"/>
    <n v="141.9"/>
    <n v="1.7000000000000001E-2"/>
    <x v="0"/>
    <n v="-3.8000000000010914"/>
  </r>
  <r>
    <n v="448"/>
    <s v="The Police"/>
    <x v="0"/>
    <x v="1"/>
    <x v="0"/>
    <x v="1"/>
    <x v="0"/>
    <x v="50"/>
    <n v="7976.6"/>
    <n v="7980.4"/>
    <n v="1.0004999999999999"/>
    <n v="0.6"/>
    <n v="1E-4"/>
    <n v="7960.2"/>
    <n v="0.99790000000000001"/>
    <n v="16.399999999999999"/>
    <n v="2.0999999999999999E-3"/>
    <x v="1"/>
    <n v="-4.3999999999996362"/>
  </r>
  <r>
    <n v="449"/>
    <s v="The Rolling Stones"/>
    <x v="0"/>
    <x v="1"/>
    <x v="0"/>
    <x v="1"/>
    <x v="0"/>
    <x v="57"/>
    <n v="12566.2"/>
    <n v="4905.7"/>
    <n v="0.39040000000000002"/>
    <n v="7658.9"/>
    <n v="0.60950000000000004"/>
    <n v="12335.7"/>
    <n v="0.98170000000000002"/>
    <n v="230.5"/>
    <n v="1.83E-2"/>
    <x v="0"/>
    <n v="1.6000000000021828"/>
  </r>
  <r>
    <n v="450"/>
    <s v="The Script"/>
    <x v="0"/>
    <x v="27"/>
    <x v="0"/>
    <x v="1"/>
    <x v="0"/>
    <x v="11"/>
    <n v="8509.5"/>
    <n v="8483.9"/>
    <n v="0.997"/>
    <n v="29.2"/>
    <n v="3.3999999999999998E-3"/>
    <n v="6435.4"/>
    <n v="0.75629999999999997"/>
    <n v="2074.1"/>
    <n v="0.2437"/>
    <x v="0"/>
    <n v="-3.6000000000003638"/>
  </r>
  <r>
    <n v="451"/>
    <s v="The Smiths"/>
    <x v="0"/>
    <x v="1"/>
    <x v="0"/>
    <x v="1"/>
    <x v="0"/>
    <x v="56"/>
    <n v="8014.7"/>
    <n v="8019.1"/>
    <n v="1.0004999999999999"/>
    <n v="0"/>
    <n v="0"/>
    <n v="8014.7"/>
    <n v="1"/>
    <n v="0"/>
    <n v="0"/>
    <x v="1"/>
    <n v="-4.4000000000005457"/>
  </r>
  <r>
    <n v="452"/>
    <s v="The Strokes"/>
    <x v="0"/>
    <x v="0"/>
    <x v="0"/>
    <x v="1"/>
    <x v="0"/>
    <x v="16"/>
    <n v="7934.8"/>
    <n v="4641.5"/>
    <n v="0.58499999999999996"/>
    <n v="3299.4"/>
    <n v="0.4158"/>
    <n v="7901.6"/>
    <n v="0.99580000000000002"/>
    <n v="33.200000000000003"/>
    <n v="4.1999999999999997E-3"/>
    <x v="0"/>
    <n v="-6.0999999999994543"/>
  </r>
  <r>
    <n v="453"/>
    <s v="The Weeknd"/>
    <x v="0"/>
    <x v="9"/>
    <x v="0"/>
    <x v="2"/>
    <x v="1"/>
    <x v="37"/>
    <n v="95703.2"/>
    <n v="77189.399999999994"/>
    <n v="0.80649999999999999"/>
    <n v="18513.8"/>
    <n v="0.19350000000000001"/>
    <n v="51020"/>
    <n v="0.53310000000000002"/>
    <n v="44683.199999999997"/>
    <n v="0.46689999999999998"/>
    <x v="0"/>
    <n v="0"/>
  </r>
  <r>
    <n v="454"/>
    <s v="Thomas Rhett"/>
    <x v="0"/>
    <x v="0"/>
    <x v="0"/>
    <x v="19"/>
    <x v="1"/>
    <x v="19"/>
    <n v="7337.5"/>
    <n v="3928"/>
    <n v="0.5353"/>
    <n v="3422.3"/>
    <n v="0.46639999999999998"/>
    <n v="5340.9"/>
    <n v="0.72789999999999999"/>
    <n v="1996.6"/>
    <n v="0.27210000000000001"/>
    <x v="0"/>
    <n v="-12.800000000000182"/>
  </r>
  <r>
    <n v="455"/>
    <s v="Three Days Grace"/>
    <x v="0"/>
    <x v="9"/>
    <x v="0"/>
    <x v="1"/>
    <x v="0"/>
    <x v="4"/>
    <n v="8203"/>
    <n v="7983.1"/>
    <n v="0.97319999999999995"/>
    <n v="224.9"/>
    <n v="2.7400000000000001E-2"/>
    <n v="7947.8"/>
    <n v="0.96889999999999998"/>
    <n v="255.2"/>
    <n v="3.1099999999999999E-2"/>
    <x v="0"/>
    <n v="-5"/>
  </r>
  <r>
    <n v="456"/>
    <s v="TiÃ«sto"/>
    <x v="0"/>
    <x v="34"/>
    <x v="0"/>
    <x v="6"/>
    <x v="1"/>
    <x v="36"/>
    <n v="18217.099999999999"/>
    <n v="13653.1"/>
    <n v="0.74950000000000006"/>
    <n v="4569.1000000000004"/>
    <n v="0.25080000000000002"/>
    <n v="3490.5"/>
    <n v="0.19159999999999999"/>
    <n v="14726.6"/>
    <n v="0.80840000000000001"/>
    <x v="0"/>
    <n v="-5.1000000000021828"/>
  </r>
  <r>
    <n v="457"/>
    <s v="Tiago PZK"/>
    <x v="0"/>
    <x v="15"/>
    <x v="2"/>
    <x v="0"/>
    <x v="1"/>
    <x v="29"/>
    <n v="7377.9"/>
    <n v="4274.5"/>
    <n v="0.57940000000000003"/>
    <n v="3113.3"/>
    <n v="0.42199999999999999"/>
    <n v="716.5"/>
    <n v="9.7100000000000006E-2"/>
    <n v="6661.4"/>
    <n v="0.90290000000000004"/>
    <x v="0"/>
    <n v="-9.9000000000005457"/>
  </r>
  <r>
    <n v="458"/>
    <s v="Timbaland"/>
    <x v="0"/>
    <x v="0"/>
    <x v="0"/>
    <x v="0"/>
    <x v="1"/>
    <x v="53"/>
    <n v="9734"/>
    <n v="4314.3"/>
    <n v="0.44319999999999998"/>
    <n v="5425.4"/>
    <n v="0.55740000000000001"/>
    <n v="31"/>
    <n v="3.2000000000000002E-3"/>
    <n v="9703"/>
    <n v="0.99680000000000002"/>
    <x v="0"/>
    <n v="-5.7000000000007276"/>
  </r>
  <r>
    <n v="459"/>
    <s v="TINI"/>
    <x v="2"/>
    <x v="15"/>
    <x v="2"/>
    <x v="5"/>
    <x v="1"/>
    <x v="6"/>
    <n v="8507.9"/>
    <n v="5811.9"/>
    <n v="0.68310000000000004"/>
    <n v="2696"/>
    <n v="0.31690000000000002"/>
    <n v="1929.8"/>
    <n v="0.2268"/>
    <n v="6578.1"/>
    <n v="0.7732"/>
    <x v="0"/>
    <n v="0"/>
  </r>
  <r>
    <n v="460"/>
    <s v="Tito Double P"/>
    <x v="0"/>
    <x v="7"/>
    <x v="2"/>
    <x v="8"/>
    <x v="1"/>
    <x v="58"/>
    <n v="14166.6"/>
    <n v="7969.4"/>
    <n v="0.5625"/>
    <n v="6215.6"/>
    <n v="0.43880000000000002"/>
    <n v="3646.4"/>
    <n v="0.25740000000000002"/>
    <n v="10520.2"/>
    <n v="0.74260000000000004"/>
    <x v="0"/>
    <n v="-18.399999999999636"/>
  </r>
  <r>
    <n v="461"/>
    <s v="Tom Odell"/>
    <x v="0"/>
    <x v="1"/>
    <x v="0"/>
    <x v="5"/>
    <x v="1"/>
    <x v="19"/>
    <n v="7352.6"/>
    <n v="3894"/>
    <n v="0.52959999999999996"/>
    <n v="3483.8"/>
    <n v="0.4738"/>
    <n v="6069.3"/>
    <n v="0.82550000000000001"/>
    <n v="1283.3"/>
    <n v="0.17449999999999999"/>
    <x v="0"/>
    <n v="-25.199999999999818"/>
  </r>
  <r>
    <n v="462"/>
    <s v="TOMORROW X TOGETHER"/>
    <x v="0"/>
    <x v="16"/>
    <x v="7"/>
    <x v="15"/>
    <x v="0"/>
    <x v="25"/>
    <n v="7182.1"/>
    <n v="6877.5"/>
    <n v="0.95760000000000001"/>
    <n v="304.7"/>
    <n v="4.24E-2"/>
    <n v="6118.4"/>
    <n v="0.85189999999999999"/>
    <n v="1063.7"/>
    <n v="0.14810000000000001"/>
    <x v="0"/>
    <n v="-9.9999999999454303E-2"/>
  </r>
  <r>
    <n v="463"/>
    <s v="Tory Lanez"/>
    <x v="0"/>
    <x v="9"/>
    <x v="0"/>
    <x v="0"/>
    <x v="1"/>
    <x v="37"/>
    <n v="16021.1"/>
    <n v="11602.1"/>
    <n v="0.72419999999999995"/>
    <n v="4424.8"/>
    <n v="0.2762"/>
    <n v="8229.4"/>
    <n v="0.51370000000000005"/>
    <n v="7791.7"/>
    <n v="0.48630000000000001"/>
    <x v="0"/>
    <n v="-5.8000000000010914"/>
  </r>
  <r>
    <n v="464"/>
    <s v="Tove Lo"/>
    <x v="2"/>
    <x v="4"/>
    <x v="0"/>
    <x v="5"/>
    <x v="1"/>
    <x v="24"/>
    <n v="8809.4"/>
    <n v="5689.4"/>
    <n v="0.64580000000000004"/>
    <n v="3122.8"/>
    <n v="0.35449999999999998"/>
    <n v="4223.1000000000004"/>
    <n v="0.47939999999999999"/>
    <n v="4586.3"/>
    <n v="0.52059999999999995"/>
    <x v="0"/>
    <n v="-2.8000000000010914"/>
  </r>
  <r>
    <n v="465"/>
    <s v="T-Pain"/>
    <x v="0"/>
    <x v="0"/>
    <x v="0"/>
    <x v="2"/>
    <x v="1"/>
    <x v="21"/>
    <n v="11238.2"/>
    <n v="4609.5"/>
    <n v="0.41020000000000001"/>
    <n v="6628.7"/>
    <n v="0.58979999999999999"/>
    <n v="839.9"/>
    <n v="7.4700000000000003E-2"/>
    <n v="10398.299999999999"/>
    <n v="0.92530000000000001"/>
    <x v="0"/>
    <n v="0"/>
  </r>
  <r>
    <n v="466"/>
    <s v="Travis Scott"/>
    <x v="0"/>
    <x v="0"/>
    <x v="0"/>
    <x v="0"/>
    <x v="1"/>
    <x v="20"/>
    <n v="65349.7"/>
    <n v="35338.699999999997"/>
    <n v="0.54079999999999995"/>
    <n v="30027"/>
    <n v="0.45950000000000002"/>
    <n v="25309.9"/>
    <n v="0.38729999999999998"/>
    <n v="40039.800000000003"/>
    <n v="0.61270000000000002"/>
    <x v="0"/>
    <n v="-16"/>
  </r>
  <r>
    <n v="467"/>
    <s v="Trippie Redd"/>
    <x v="0"/>
    <x v="0"/>
    <x v="0"/>
    <x v="0"/>
    <x v="1"/>
    <x v="6"/>
    <n v="18889.599999999999"/>
    <n v="11762.8"/>
    <n v="0.62270000000000003"/>
    <n v="7126.8"/>
    <n v="0.37730000000000002"/>
    <n v="5822.1"/>
    <n v="0.30819999999999997"/>
    <n v="13067.5"/>
    <n v="0.69179999999999997"/>
    <x v="0"/>
    <n v="0"/>
  </r>
  <r>
    <n v="468"/>
    <s v="Troye Sivan"/>
    <x v="0"/>
    <x v="40"/>
    <x v="0"/>
    <x v="5"/>
    <x v="1"/>
    <x v="24"/>
    <n v="10332.799999999999"/>
    <n v="7323"/>
    <n v="0.7087"/>
    <n v="3009.8"/>
    <n v="0.2913"/>
    <n v="6153.5"/>
    <n v="0.59550000000000003"/>
    <n v="4179.3"/>
    <n v="0.40450000000000003"/>
    <x v="0"/>
    <n v="0"/>
  </r>
  <r>
    <n v="469"/>
    <s v="TV Girl"/>
    <x v="0"/>
    <x v="0"/>
    <x v="0"/>
    <x v="5"/>
    <x v="0"/>
    <x v="15"/>
    <n v="8779.9"/>
    <n v="7850.9"/>
    <n v="0.89419999999999999"/>
    <n v="932.8"/>
    <n v="0.1062"/>
    <n v="8155.1"/>
    <n v="0.92879999999999996"/>
    <n v="624.79999999999995"/>
    <n v="7.1199999999999999E-2"/>
    <x v="0"/>
    <n v="-3.7999999999992724"/>
  </r>
  <r>
    <n v="470"/>
    <s v="Twenty One Pilots"/>
    <x v="0"/>
    <x v="0"/>
    <x v="0"/>
    <x v="13"/>
    <x v="0"/>
    <x v="37"/>
    <n v="22475.8"/>
    <n v="22215.200000000001"/>
    <n v="0.98839999999999995"/>
    <n v="269.10000000000002"/>
    <n v="1.2E-2"/>
    <n v="22142.6"/>
    <n v="0.98519999999999996"/>
    <n v="333.2"/>
    <n v="1.4800000000000001E-2"/>
    <x v="0"/>
    <n v="-8.5"/>
  </r>
  <r>
    <n v="471"/>
    <s v="TWICE"/>
    <x v="2"/>
    <x v="16"/>
    <x v="7"/>
    <x v="15"/>
    <x v="0"/>
    <x v="14"/>
    <n v="12716.2"/>
    <n v="2648.7"/>
    <n v="0.20830000000000001"/>
    <n v="10073.4"/>
    <n v="0.79220000000000002"/>
    <n v="12242.6"/>
    <n v="0.96279999999999999"/>
    <n v="473.6"/>
    <n v="3.7199999999999997E-2"/>
    <x v="0"/>
    <n v="-5.8999999999978172"/>
  </r>
  <r>
    <n v="472"/>
    <s v="Ty Dolla $ign"/>
    <x v="0"/>
    <x v="0"/>
    <x v="0"/>
    <x v="2"/>
    <x v="1"/>
    <x v="3"/>
    <n v="26465.200000000001"/>
    <n v="5073.8"/>
    <n v="0.19170000000000001"/>
    <n v="21394.799999999999"/>
    <n v="0.80840000000000001"/>
    <n v="318.39999999999998"/>
    <n v="1.2E-2"/>
    <n v="26146.799999999999"/>
    <n v="0.98799999999999999"/>
    <x v="0"/>
    <n v="-3.3999999999978172"/>
  </r>
  <r>
    <n v="473"/>
    <s v="Tyga"/>
    <x v="0"/>
    <x v="0"/>
    <x v="0"/>
    <x v="0"/>
    <x v="1"/>
    <x v="11"/>
    <n v="18064.3"/>
    <n v="7403"/>
    <n v="0.4098"/>
    <n v="10664.8"/>
    <n v="0.59040000000000004"/>
    <n v="2757.4"/>
    <n v="0.15260000000000001"/>
    <n v="15306.9"/>
    <n v="0.84740000000000004"/>
    <x v="0"/>
    <n v="-3.5"/>
  </r>
  <r>
    <n v="474"/>
    <s v="Tyler The Creator"/>
    <x v="0"/>
    <x v="0"/>
    <x v="0"/>
    <x v="0"/>
    <x v="1"/>
    <x v="37"/>
    <n v="27125.8"/>
    <n v="23925.9"/>
    <n v="0.88200000000000001"/>
    <n v="3208.7"/>
    <n v="0.1183"/>
    <n v="11656.5"/>
    <n v="0.42970000000000003"/>
    <n v="15469.3"/>
    <n v="0.57030000000000003"/>
    <x v="0"/>
    <n v="-8.8000000000029104"/>
  </r>
  <r>
    <n v="475"/>
    <s v="U2"/>
    <x v="0"/>
    <x v="27"/>
    <x v="0"/>
    <x v="1"/>
    <x v="0"/>
    <x v="40"/>
    <n v="10616.1"/>
    <n v="10020.5"/>
    <n v="0.94389999999999996"/>
    <n v="599.29999999999995"/>
    <n v="5.6500000000000002E-2"/>
    <n v="9771.2999999999993"/>
    <n v="0.9204"/>
    <n v="844.8"/>
    <n v="7.9600000000000004E-2"/>
    <x v="0"/>
    <n v="-3.6999999999989086"/>
  </r>
  <r>
    <n v="476"/>
    <s v="Udit Narayan"/>
    <x v="0"/>
    <x v="41"/>
    <x v="3"/>
    <x v="3"/>
    <x v="1"/>
    <x v="17"/>
    <n v="8186.9"/>
    <n v="3408.5"/>
    <n v="0.4163"/>
    <n v="4789.5"/>
    <n v="0.58499999999999996"/>
    <n v="515.9"/>
    <n v="6.3E-2"/>
    <n v="7671"/>
    <n v="0.93700000000000006"/>
    <x v="0"/>
    <n v="-11.100000000000364"/>
  </r>
  <r>
    <n v="477"/>
    <s v="USHER"/>
    <x v="0"/>
    <x v="0"/>
    <x v="0"/>
    <x v="2"/>
    <x v="1"/>
    <x v="36"/>
    <n v="18413.2"/>
    <n v="12525.4"/>
    <n v="0.68020000000000003"/>
    <n v="5896.3"/>
    <n v="0.32019999999999998"/>
    <n v="5222.1000000000004"/>
    <n v="0.28360000000000002"/>
    <n v="13191.1"/>
    <n v="0.71640000000000004"/>
    <x v="0"/>
    <n v="-8.5"/>
  </r>
  <r>
    <n v="478"/>
    <s v="Vance Joy"/>
    <x v="0"/>
    <x v="2"/>
    <x v="0"/>
    <x v="17"/>
    <x v="1"/>
    <x v="20"/>
    <n v="8092.2"/>
    <n v="7918.7"/>
    <n v="0.97860000000000003"/>
    <n v="176.9"/>
    <n v="2.1899999999999999E-2"/>
    <n v="7804.3"/>
    <n v="0.96440000000000003"/>
    <n v="287.89999999999998"/>
    <n v="3.56E-2"/>
    <x v="0"/>
    <n v="-3.3999999999996362"/>
  </r>
  <r>
    <n v="479"/>
    <s v="Vicente FernÃ¡ndez"/>
    <x v="0"/>
    <x v="7"/>
    <x v="2"/>
    <x v="8"/>
    <x v="1"/>
    <x v="60"/>
    <n v="8205.4"/>
    <n v="8009"/>
    <n v="0.97609999999999997"/>
    <n v="204.5"/>
    <n v="2.4899999999999999E-2"/>
    <n v="7878.1"/>
    <n v="0.96009999999999995"/>
    <n v="327.3"/>
    <n v="3.9899999999999998E-2"/>
    <x v="0"/>
    <n v="-8.1000000000003638"/>
  </r>
  <r>
    <n v="480"/>
    <s v="Vishal-Shekhar"/>
    <x v="0"/>
    <x v="3"/>
    <x v="3"/>
    <x v="3"/>
    <x v="0"/>
    <x v="34"/>
    <n v="10165"/>
    <n v="8858.9"/>
    <n v="0.87150000000000005"/>
    <n v="1312.6"/>
    <n v="0.12909999999999999"/>
    <n v="6.7"/>
    <n v="6.9999999999999999E-4"/>
    <n v="10158.299999999999"/>
    <n v="0.99929999999999997"/>
    <x v="0"/>
    <n v="-6.5"/>
  </r>
  <r>
    <n v="481"/>
    <s v="Wesley SafadÃ£o"/>
    <x v="0"/>
    <x v="10"/>
    <x v="4"/>
    <x v="7"/>
    <x v="1"/>
    <x v="4"/>
    <n v="7618.8"/>
    <n v="5257.8"/>
    <n v="0.69010000000000005"/>
    <n v="2361"/>
    <n v="0.30990000000000001"/>
    <n v="2908.3"/>
    <n v="0.38169999999999998"/>
    <n v="4710.5"/>
    <n v="0.61829999999999996"/>
    <x v="0"/>
    <n v="0"/>
  </r>
  <r>
    <n v="482"/>
    <s v="Whitney Houston"/>
    <x v="2"/>
    <x v="0"/>
    <x v="0"/>
    <x v="2"/>
    <x v="1"/>
    <x v="49"/>
    <n v="8828.7999999999993"/>
    <n v="7564.4"/>
    <n v="0.85680000000000001"/>
    <n v="1267.8"/>
    <n v="0.14360000000000001"/>
    <n v="6762.6"/>
    <n v="0.76600000000000001"/>
    <n v="2066.1999999999998"/>
    <n v="0.23400000000000001"/>
    <x v="0"/>
    <n v="-3.3999999999996362"/>
  </r>
  <r>
    <n v="483"/>
    <s v="Wisin"/>
    <x v="0"/>
    <x v="0"/>
    <x v="2"/>
    <x v="4"/>
    <x v="1"/>
    <x v="43"/>
    <n v="13273.4"/>
    <n v="4702.2"/>
    <n v="0.3543"/>
    <n v="8580.5"/>
    <n v="0.64639999999999997"/>
    <n v="575.4"/>
    <n v="4.3299999999999998E-2"/>
    <n v="12698"/>
    <n v="0.95669999999999999"/>
    <x v="0"/>
    <n v="-9.3000000000010914"/>
  </r>
  <r>
    <n v="484"/>
    <s v="Wisin &amp; Yandel"/>
    <x v="0"/>
    <x v="0"/>
    <x v="2"/>
    <x v="4"/>
    <x v="0"/>
    <x v="28"/>
    <n v="13323.2"/>
    <n v="8971.1"/>
    <n v="0.67330000000000001"/>
    <n v="4360.5"/>
    <n v="0.32729999999999998"/>
    <n v="5734.4"/>
    <n v="0.4304"/>
    <n v="7588.8"/>
    <n v="0.5696"/>
    <x v="0"/>
    <n v="-8.3999999999996362"/>
  </r>
  <r>
    <n v="485"/>
    <s v="Wiz Khalifa"/>
    <x v="0"/>
    <x v="0"/>
    <x v="0"/>
    <x v="0"/>
    <x v="1"/>
    <x v="24"/>
    <n v="25289.9"/>
    <n v="11748.9"/>
    <n v="0.46460000000000001"/>
    <n v="13549.3"/>
    <n v="0.53580000000000005"/>
    <n v="4844.5"/>
    <n v="0.19159999999999999"/>
    <n v="20445.400000000001"/>
    <n v="0.80840000000000001"/>
    <x v="0"/>
    <n v="-8.2999999999956344"/>
  </r>
  <r>
    <n v="486"/>
    <s v="Wizkid"/>
    <x v="0"/>
    <x v="18"/>
    <x v="0"/>
    <x v="18"/>
    <x v="1"/>
    <x v="3"/>
    <n v="11149"/>
    <n v="3260"/>
    <n v="0.29239999999999999"/>
    <n v="7882.2"/>
    <n v="0.70699999999999996"/>
    <n v="1292"/>
    <n v="0.1159"/>
    <n v="9857"/>
    <n v="0.8841"/>
    <x v="0"/>
    <n v="6.7999999999992724"/>
  </r>
  <r>
    <n v="487"/>
    <s v="XXXTENTACION"/>
    <x v="0"/>
    <x v="0"/>
    <x v="0"/>
    <x v="0"/>
    <x v="1"/>
    <x v="20"/>
    <n v="40411.300000000003"/>
    <n v="34419.9"/>
    <n v="0.85170000000000001"/>
    <n v="5998.9"/>
    <n v="0.1484"/>
    <n v="28138.400000000001"/>
    <n v="0.69630000000000003"/>
    <n v="12272.9"/>
    <n v="0.30370000000000003"/>
    <x v="0"/>
    <n v="-7.5"/>
  </r>
  <r>
    <n v="488"/>
    <s v="Yandel"/>
    <x v="0"/>
    <x v="0"/>
    <x v="2"/>
    <x v="4"/>
    <x v="1"/>
    <x v="4"/>
    <n v="12929.7"/>
    <n v="5938.5"/>
    <n v="0.45929999999999999"/>
    <n v="6997.8"/>
    <n v="0.54120000000000001"/>
    <n v="1490.1"/>
    <n v="0.1152"/>
    <n v="11439.6"/>
    <n v="0.88480000000000003"/>
    <x v="0"/>
    <n v="-6.5999999999985448"/>
  </r>
  <r>
    <n v="489"/>
    <s v="Yeat"/>
    <x v="0"/>
    <x v="0"/>
    <x v="0"/>
    <x v="0"/>
    <x v="1"/>
    <x v="14"/>
    <n v="10141.700000000001"/>
    <n v="9084.2000000000007"/>
    <n v="0.89570000000000005"/>
    <n v="1067.9000000000001"/>
    <n v="0.1053"/>
    <n v="7696.5"/>
    <n v="0.75890000000000002"/>
    <n v="2445.1999999999998"/>
    <n v="0.24110000000000001"/>
    <x v="0"/>
    <n v="-10.399999999999636"/>
  </r>
  <r>
    <n v="490"/>
    <s v="YG"/>
    <x v="0"/>
    <x v="0"/>
    <x v="0"/>
    <x v="0"/>
    <x v="1"/>
    <x v="11"/>
    <n v="9362.2999999999993"/>
    <n v="4260.1000000000004"/>
    <n v="0.45500000000000002"/>
    <n v="5102.2"/>
    <n v="0.54500000000000004"/>
    <n v="1075.5999999999999"/>
    <n v="0.1149"/>
    <n v="8286.7000000000007"/>
    <n v="0.8851"/>
    <x v="0"/>
    <n v="0"/>
  </r>
  <r>
    <n v="491"/>
    <s v="YNW Melly"/>
    <x v="0"/>
    <x v="0"/>
    <x v="0"/>
    <x v="0"/>
    <x v="1"/>
    <x v="5"/>
    <n v="7061.3"/>
    <n v="7067.3"/>
    <n v="1.0007999999999999"/>
    <n v="0"/>
    <n v="0"/>
    <n v="4346.8"/>
    <n v="0.61560000000000004"/>
    <n v="2714.5"/>
    <n v="0.38440000000000002"/>
    <x v="1"/>
    <n v="-6"/>
  </r>
  <r>
    <n v="492"/>
    <s v="Young Thug"/>
    <x v="0"/>
    <x v="0"/>
    <x v="0"/>
    <x v="0"/>
    <x v="1"/>
    <x v="3"/>
    <n v="30933.8"/>
    <n v="10464.200000000001"/>
    <n v="0.33829999999999999"/>
    <n v="20472.3"/>
    <n v="0.66180000000000005"/>
    <n v="2792.1"/>
    <n v="9.0300000000000005E-2"/>
    <n v="28141.7"/>
    <n v="0.90969999999999995"/>
    <x v="0"/>
    <n v="-2.7000000000007276"/>
  </r>
  <r>
    <n v="493"/>
    <s v="YoungBoy Never Broke Again"/>
    <x v="0"/>
    <x v="0"/>
    <x v="0"/>
    <x v="0"/>
    <x v="1"/>
    <x v="14"/>
    <n v="20138.099999999999"/>
    <n v="15305.8"/>
    <n v="0.76"/>
    <n v="4841.7"/>
    <n v="0.2404"/>
    <n v="13558.6"/>
    <n v="0.67330000000000001"/>
    <n v="6579.5"/>
    <n v="0.32669999999999999"/>
    <x v="0"/>
    <n v="-9.4000000000014552"/>
  </r>
  <r>
    <n v="494"/>
    <s v="ZÃ© Neto &amp; Cristiano"/>
    <x v="0"/>
    <x v="10"/>
    <x v="4"/>
    <x v="10"/>
    <x v="0"/>
    <x v="3"/>
    <n v="10914.2"/>
    <n v="9203.4"/>
    <n v="0.84330000000000005"/>
    <n v="1721.9"/>
    <n v="0.1578"/>
    <n v="8573.2000000000007"/>
    <n v="0.78549999999999998"/>
    <n v="2341"/>
    <n v="0.2145"/>
    <x v="0"/>
    <n v="-11.099999999998545"/>
  </r>
  <r>
    <n v="495"/>
    <s v="Zach Bryan"/>
    <x v="0"/>
    <x v="0"/>
    <x v="0"/>
    <x v="19"/>
    <x v="1"/>
    <x v="25"/>
    <n v="19727.2"/>
    <n v="19690.8"/>
    <n v="0.99819999999999998"/>
    <n v="47.3"/>
    <n v="2.3999999999999998E-3"/>
    <n v="15838.7"/>
    <n v="0.80289999999999995"/>
    <n v="3888.5"/>
    <n v="0.1971"/>
    <x v="0"/>
    <n v="-10.899999999997817"/>
  </r>
  <r>
    <n v="496"/>
    <s v="Zara Larsson"/>
    <x v="2"/>
    <x v="4"/>
    <x v="0"/>
    <x v="5"/>
    <x v="1"/>
    <x v="11"/>
    <n v="14221.3"/>
    <n v="9372.1"/>
    <n v="0.65900000000000003"/>
    <n v="4858.7"/>
    <n v="0.34160000000000001"/>
    <n v="7138.3"/>
    <n v="0.50190000000000001"/>
    <n v="7083"/>
    <n v="0.49809999999999999"/>
    <x v="0"/>
    <n v="-9.5"/>
  </r>
  <r>
    <n v="497"/>
    <s v="ZAYN"/>
    <x v="0"/>
    <x v="1"/>
    <x v="0"/>
    <x v="5"/>
    <x v="1"/>
    <x v="15"/>
    <n v="12650.8"/>
    <n v="11398.2"/>
    <n v="0.90100000000000002"/>
    <n v="1255.5"/>
    <n v="9.9199999999999997E-2"/>
    <n v="5777.3"/>
    <n v="0.45669999999999999"/>
    <n v="6873.5"/>
    <n v="0.54330000000000001"/>
    <x v="0"/>
    <n v="-2.9000000000014552"/>
  </r>
  <r>
    <n v="498"/>
    <s v="Zedd"/>
    <x v="0"/>
    <x v="42"/>
    <x v="0"/>
    <x v="6"/>
    <x v="1"/>
    <x v="15"/>
    <n v="11481.4"/>
    <n v="11486.5"/>
    <n v="1.0004"/>
    <n v="0"/>
    <n v="0"/>
    <n v="235.7"/>
    <n v="2.0500000000000001E-2"/>
    <n v="11245.7"/>
    <n v="0.97950000000000004"/>
    <x v="1"/>
    <n v="-5.1000000000003638"/>
  </r>
  <r>
    <n v="499"/>
    <s v="Zion"/>
    <x v="0"/>
    <x v="0"/>
    <x v="2"/>
    <x v="4"/>
    <x v="1"/>
    <x v="8"/>
    <n v="7661.6"/>
    <n v="1713.9"/>
    <n v="0.22370000000000001"/>
    <n v="5947.7"/>
    <n v="0.77629999999999999"/>
    <n v="560.9"/>
    <n v="7.3200000000000001E-2"/>
    <n v="7100.7"/>
    <n v="0.92679999999999996"/>
    <x v="0"/>
    <n v="0"/>
  </r>
  <r>
    <n v="500"/>
    <s v="Zion &amp; Lennox"/>
    <x v="0"/>
    <x v="0"/>
    <x v="2"/>
    <x v="4"/>
    <x v="0"/>
    <x v="43"/>
    <n v="12799.8"/>
    <n v="5018.3999999999996"/>
    <n v="0.3921"/>
    <n v="7786.4"/>
    <n v="0.60829999999999995"/>
    <n v="1713.9"/>
    <n v="0.13389999999999999"/>
    <n v="11085.9"/>
    <n v="0.86609999999999998"/>
    <x v="0"/>
    <n v="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8CCBA-ED68-4160-95FC-0DC287013622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D9:E12" firstHeaderRow="1" firstDataRow="1" firstDataCol="1"/>
  <pivotFields count="19">
    <pivotField numFmtId="1" showAll="0"/>
    <pivotField showAll="0"/>
    <pivotField showAll="0">
      <items count="4">
        <item x="2"/>
        <item x="0"/>
        <item x="1"/>
        <item t="default"/>
      </items>
    </pivotField>
    <pivotField showAll="0">
      <items count="44">
        <item x="15"/>
        <item x="2"/>
        <item x="36"/>
        <item x="38"/>
        <item x="31"/>
        <item x="10"/>
        <item x="9"/>
        <item x="21"/>
        <item x="12"/>
        <item x="20"/>
        <item x="32"/>
        <item x="24"/>
        <item x="26"/>
        <item x="22"/>
        <item x="14"/>
        <item x="37"/>
        <item x="29"/>
        <item x="3"/>
        <item x="27"/>
        <item x="33"/>
        <item x="17"/>
        <item x="28"/>
        <item x="7"/>
        <item x="25"/>
        <item x="41"/>
        <item x="34"/>
        <item x="30"/>
        <item x="18"/>
        <item x="6"/>
        <item x="11"/>
        <item x="39"/>
        <item x="13"/>
        <item x="42"/>
        <item x="19"/>
        <item x="5"/>
        <item x="40"/>
        <item x="16"/>
        <item x="8"/>
        <item x="4"/>
        <item x="35"/>
        <item x="1"/>
        <item x="0"/>
        <item x="23"/>
        <item t="default"/>
      </items>
    </pivotField>
    <pivotField showAll="0">
      <items count="12">
        <item x="0"/>
        <item x="8"/>
        <item x="6"/>
        <item x="3"/>
        <item x="10"/>
        <item x="7"/>
        <item x="4"/>
        <item x="9"/>
        <item x="2"/>
        <item x="1"/>
        <item x="5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64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ntagem de  Artist Type" fld="6" subtotal="count" showDataAs="percentOfTotal" baseField="6" baseItem="1" numFmtId="1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06774-D640-4A67-B184-85123A6ABEBA}" name="Tabela dinâmica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>
  <location ref="A9:B15" firstHeaderRow="1" firstDataRow="1" firstDataCol="1"/>
  <pivotFields count="19">
    <pivotField numFmtId="1" showAll="0"/>
    <pivotField showAll="0"/>
    <pivotField showAll="0">
      <items count="4">
        <item x="2"/>
        <item x="0"/>
        <item x="1"/>
        <item t="default"/>
      </items>
    </pivotField>
    <pivotField axis="axisRow" dataField="1" showAll="0" measureFilter="1">
      <items count="44">
        <item x="15"/>
        <item x="2"/>
        <item x="36"/>
        <item x="38"/>
        <item x="31"/>
        <item x="10"/>
        <item x="9"/>
        <item x="21"/>
        <item x="12"/>
        <item x="20"/>
        <item x="32"/>
        <item x="24"/>
        <item x="26"/>
        <item x="22"/>
        <item x="14"/>
        <item x="37"/>
        <item x="29"/>
        <item x="3"/>
        <item x="27"/>
        <item x="33"/>
        <item x="17"/>
        <item x="28"/>
        <item x="7"/>
        <item x="25"/>
        <item x="41"/>
        <item x="34"/>
        <item x="30"/>
        <item x="18"/>
        <item x="6"/>
        <item x="11"/>
        <item x="39"/>
        <item x="13"/>
        <item x="42"/>
        <item x="19"/>
        <item x="5"/>
        <item x="40"/>
        <item x="16"/>
        <item x="8"/>
        <item x="4"/>
        <item x="35"/>
        <item x="1"/>
        <item x="0"/>
        <item x="23"/>
        <item t="default"/>
      </items>
    </pivotField>
    <pivotField showAll="0">
      <items count="12">
        <item x="0"/>
        <item x="8"/>
        <item x="6"/>
        <item x="3"/>
        <item x="10"/>
        <item x="7"/>
        <item x="4"/>
        <item x="9"/>
        <item x="2"/>
        <item x="1"/>
        <item x="5"/>
        <item t="default"/>
      </items>
    </pivotField>
    <pivotField showAll="0">
      <items count="24">
        <item x="18"/>
        <item x="13"/>
        <item x="12"/>
        <item x="14"/>
        <item x="19"/>
        <item x="6"/>
        <item x="3"/>
        <item x="17"/>
        <item x="0"/>
        <item x="15"/>
        <item x="7"/>
        <item x="11"/>
        <item x="22"/>
        <item x="5"/>
        <item x="2"/>
        <item x="16"/>
        <item x="4"/>
        <item x="8"/>
        <item x="1"/>
        <item x="10"/>
        <item x="9"/>
        <item x="21"/>
        <item x="20"/>
        <item t="default"/>
      </items>
    </pivotField>
    <pivotField showAll="0"/>
    <pivotField showAll="0"/>
    <pivotField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64" showAll="0"/>
  </pivotFields>
  <rowFields count="1">
    <field x="3"/>
  </rowFields>
  <rowItems count="6">
    <i>
      <x v="6"/>
    </i>
    <i>
      <x v="8"/>
    </i>
    <i>
      <x v="22"/>
    </i>
    <i>
      <x v="40"/>
    </i>
    <i>
      <x v="41"/>
    </i>
    <i t="grand">
      <x/>
    </i>
  </rowItems>
  <colItems count="1">
    <i/>
  </colItems>
  <dataFields count="1">
    <dataField name="Contagem de Country of Origin" fld="3" subtotal="count" baseField="3" baseItem="8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D61B5-9217-4685-B080-DCA8A5BAB46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D1:E4" firstHeaderRow="1" firstDataRow="1" firstDataCol="1"/>
  <pivotFields count="19">
    <pivotField numFmtId="1" showAll="0"/>
    <pivotField showAll="0"/>
    <pivotField showAll="0">
      <items count="4">
        <item x="2"/>
        <item x="0"/>
        <item x="1"/>
        <item t="default"/>
      </items>
    </pivotField>
    <pivotField showAll="0">
      <items count="44">
        <item x="15"/>
        <item x="2"/>
        <item x="36"/>
        <item x="38"/>
        <item x="31"/>
        <item x="10"/>
        <item x="9"/>
        <item x="21"/>
        <item x="12"/>
        <item x="20"/>
        <item x="32"/>
        <item x="24"/>
        <item x="26"/>
        <item x="22"/>
        <item x="14"/>
        <item x="37"/>
        <item x="29"/>
        <item x="3"/>
        <item x="27"/>
        <item x="33"/>
        <item x="17"/>
        <item x="28"/>
        <item x="7"/>
        <item x="25"/>
        <item x="41"/>
        <item x="34"/>
        <item x="30"/>
        <item x="18"/>
        <item x="6"/>
        <item x="11"/>
        <item x="39"/>
        <item x="13"/>
        <item x="42"/>
        <item x="19"/>
        <item x="5"/>
        <item x="40"/>
        <item x="16"/>
        <item x="8"/>
        <item x="4"/>
        <item x="35"/>
        <item x="1"/>
        <item x="0"/>
        <item x="23"/>
        <item t="default"/>
      </items>
    </pivotField>
    <pivotField showAll="0">
      <items count="12">
        <item x="0"/>
        <item x="8"/>
        <item x="6"/>
        <item x="3"/>
        <item x="10"/>
        <item x="7"/>
        <item x="4"/>
        <item x="9"/>
        <item x="2"/>
        <item x="1"/>
        <item x="5"/>
        <item t="default"/>
      </items>
    </pivotField>
    <pivotField showAll="0">
      <items count="24">
        <item x="18"/>
        <item x="13"/>
        <item x="12"/>
        <item x="14"/>
        <item x="19"/>
        <item x="6"/>
        <item x="3"/>
        <item x="17"/>
        <item x="0"/>
        <item x="15"/>
        <item x="7"/>
        <item x="11"/>
        <item x="22"/>
        <item x="5"/>
        <item x="2"/>
        <item x="16"/>
        <item x="4"/>
        <item x="8"/>
        <item x="1"/>
        <item x="10"/>
        <item x="9"/>
        <item x="21"/>
        <item x="20"/>
        <item t="default"/>
      </items>
    </pivotField>
    <pivotField showAll="0"/>
    <pivotField showAll="0"/>
    <pivotField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0" showAll="0"/>
    <pivotField axis="axisRow" dataField="1" showAll="0">
      <items count="3">
        <item x="1"/>
        <item x="0"/>
        <item t="default"/>
      </items>
    </pivotField>
    <pivotField numFmtId="164"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ntagem de Warnings" fld="17" subtotal="count" showDataAs="percentOfTotal" baseField="17" baseItem="1" numFmtId="1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24620-0E4C-42BC-8AE1-D16E82BE759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1:B5" firstHeaderRow="1" firstDataRow="1" firstDataCol="1"/>
  <pivotFields count="19">
    <pivotField numFmtId="1"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>
      <items count="44">
        <item x="15"/>
        <item x="2"/>
        <item x="36"/>
        <item x="38"/>
        <item x="31"/>
        <item x="10"/>
        <item x="9"/>
        <item x="21"/>
        <item x="12"/>
        <item x="20"/>
        <item x="32"/>
        <item x="24"/>
        <item x="26"/>
        <item x="22"/>
        <item x="14"/>
        <item x="37"/>
        <item x="29"/>
        <item x="3"/>
        <item x="27"/>
        <item x="33"/>
        <item x="17"/>
        <item x="28"/>
        <item x="7"/>
        <item x="25"/>
        <item x="41"/>
        <item x="34"/>
        <item x="30"/>
        <item x="18"/>
        <item x="6"/>
        <item x="11"/>
        <item x="39"/>
        <item x="13"/>
        <item x="42"/>
        <item x="19"/>
        <item x="5"/>
        <item x="40"/>
        <item x="16"/>
        <item x="8"/>
        <item x="4"/>
        <item x="35"/>
        <item x="1"/>
        <item x="0"/>
        <item x="23"/>
        <item t="default"/>
      </items>
    </pivotField>
    <pivotField showAll="0">
      <items count="12">
        <item x="0"/>
        <item x="8"/>
        <item x="6"/>
        <item x="3"/>
        <item x="10"/>
        <item x="7"/>
        <item x="4"/>
        <item x="9"/>
        <item x="2"/>
        <item x="1"/>
        <item x="5"/>
        <item t="default"/>
      </items>
    </pivotField>
    <pivotField showAll="0">
      <items count="24">
        <item x="18"/>
        <item x="13"/>
        <item x="12"/>
        <item x="14"/>
        <item x="19"/>
        <item x="6"/>
        <item x="3"/>
        <item x="17"/>
        <item x="0"/>
        <item x="15"/>
        <item x="7"/>
        <item x="11"/>
        <item x="22"/>
        <item x="5"/>
        <item x="2"/>
        <item x="16"/>
        <item x="4"/>
        <item x="8"/>
        <item x="1"/>
        <item x="10"/>
        <item x="9"/>
        <item x="21"/>
        <item x="20"/>
        <item t="default"/>
      </items>
    </pivotField>
    <pivotField showAll="0"/>
    <pivotField showAll="0"/>
    <pivotField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ex" fld="2" subtotal="count" showDataAs="percentOfTotal" baseField="2" baseItem="2" numFmtId="10"/>
  </dataField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E971D-A08B-4FE2-A9B1-8A2B3904B81C}" name="Tabela dinâmica7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9">
  <location ref="K1:L7" firstHeaderRow="1" firstDataRow="1" firstDataCol="1"/>
  <pivotFields count="19">
    <pivotField numFmtId="1" showAll="0"/>
    <pivotField showAll="0"/>
    <pivotField showAll="0">
      <items count="4">
        <item x="2"/>
        <item x="0"/>
        <item x="1"/>
        <item t="default"/>
      </items>
    </pivotField>
    <pivotField showAll="0">
      <items count="44">
        <item x="15"/>
        <item x="2"/>
        <item x="36"/>
        <item x="38"/>
        <item x="31"/>
        <item x="10"/>
        <item x="9"/>
        <item x="21"/>
        <item x="12"/>
        <item x="20"/>
        <item x="32"/>
        <item x="24"/>
        <item x="26"/>
        <item x="22"/>
        <item x="14"/>
        <item x="37"/>
        <item x="29"/>
        <item x="3"/>
        <item x="27"/>
        <item x="33"/>
        <item x="17"/>
        <item x="28"/>
        <item x="7"/>
        <item x="25"/>
        <item x="41"/>
        <item x="34"/>
        <item x="30"/>
        <item x="18"/>
        <item x="6"/>
        <item x="11"/>
        <item x="39"/>
        <item x="13"/>
        <item x="42"/>
        <item x="19"/>
        <item x="5"/>
        <item x="40"/>
        <item x="16"/>
        <item x="8"/>
        <item x="4"/>
        <item x="35"/>
        <item x="1"/>
        <item x="0"/>
        <item x="23"/>
        <item t="default"/>
      </items>
    </pivotField>
    <pivotField showAll="0">
      <items count="12">
        <item x="0"/>
        <item x="8"/>
        <item x="6"/>
        <item x="3"/>
        <item x="10"/>
        <item x="7"/>
        <item x="4"/>
        <item x="9"/>
        <item x="2"/>
        <item x="1"/>
        <item x="5"/>
        <item t="default"/>
      </items>
    </pivotField>
    <pivotField axis="axisRow" dataField="1" showAll="0" measureFilter="1" sortType="ascending">
      <items count="24">
        <item x="18"/>
        <item x="13"/>
        <item x="12"/>
        <item x="14"/>
        <item x="19"/>
        <item x="6"/>
        <item x="3"/>
        <item x="17"/>
        <item x="0"/>
        <item x="15"/>
        <item x="7"/>
        <item x="11"/>
        <item x="22"/>
        <item x="5"/>
        <item x="2"/>
        <item x="16"/>
        <item x="4"/>
        <item x="8"/>
        <item x="1"/>
        <item x="10"/>
        <item x="9"/>
        <item x="21"/>
        <item x="20"/>
        <item t="default"/>
      </items>
    </pivotField>
    <pivotField showAll="0">
      <items count="3">
        <item x="0"/>
        <item x="1"/>
        <item t="default"/>
      </items>
    </pivotField>
    <pivotField showAll="0" maxSubtotal="1">
      <items count="62">
        <item x="47"/>
        <item x="42"/>
        <item x="45"/>
        <item x="51"/>
        <item x="31"/>
        <item x="26"/>
        <item x="57"/>
        <item x="60"/>
        <item x="38"/>
        <item x="35"/>
        <item x="44"/>
        <item x="27"/>
        <item x="9"/>
        <item x="12"/>
        <item x="10"/>
        <item x="50"/>
        <item x="41"/>
        <item x="40"/>
        <item x="17"/>
        <item x="33"/>
        <item x="54"/>
        <item x="56"/>
        <item x="32"/>
        <item x="49"/>
        <item x="55"/>
        <item x="52"/>
        <item x="13"/>
        <item x="39"/>
        <item x="2"/>
        <item x="7"/>
        <item x="59"/>
        <item x="36"/>
        <item x="30"/>
        <item x="23"/>
        <item x="53"/>
        <item x="28"/>
        <item x="34"/>
        <item x="43"/>
        <item x="16"/>
        <item x="22"/>
        <item x="4"/>
        <item x="8"/>
        <item x="21"/>
        <item x="24"/>
        <item x="1"/>
        <item x="11"/>
        <item x="37"/>
        <item x="15"/>
        <item x="3"/>
        <item x="19"/>
        <item x="20"/>
        <item x="0"/>
        <item x="14"/>
        <item x="6"/>
        <item x="5"/>
        <item x="29"/>
        <item x="25"/>
        <item x="46"/>
        <item x="18"/>
        <item x="48"/>
        <item x="58"/>
        <item t="max"/>
      </items>
    </pivotField>
    <pivotField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64" showAll="0"/>
  </pivotFields>
  <rowFields count="1">
    <field x="5"/>
  </rowFields>
  <rowItems count="6">
    <i>
      <x v="8"/>
    </i>
    <i>
      <x v="13"/>
    </i>
    <i>
      <x v="14"/>
    </i>
    <i>
      <x v="16"/>
    </i>
    <i>
      <x v="18"/>
    </i>
    <i t="grand">
      <x/>
    </i>
  </rowItems>
  <colItems count="1">
    <i/>
  </colItems>
  <dataFields count="1">
    <dataField name="Contagem de Primary Genre" fld="5" subtotal="count" showDataAs="percentOfTotal" baseField="5" baseItem="13" numFmtId="10"/>
  </dataFields>
  <chartFormats count="12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CEA89-8763-4B15-A641-6F372A51007C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G1:H12" firstHeaderRow="1" firstDataRow="1" firstDataCol="1"/>
  <pivotFields count="19">
    <pivotField numFmtId="1" showAll="0"/>
    <pivotField showAll="0"/>
    <pivotField showAll="0">
      <items count="4">
        <item x="2"/>
        <item x="0"/>
        <item x="1"/>
        <item t="default"/>
      </items>
    </pivotField>
    <pivotField showAll="0">
      <items count="44">
        <item x="15"/>
        <item x="2"/>
        <item x="36"/>
        <item x="38"/>
        <item x="31"/>
        <item x="10"/>
        <item x="9"/>
        <item x="21"/>
        <item x="12"/>
        <item x="20"/>
        <item x="32"/>
        <item x="24"/>
        <item x="26"/>
        <item x="22"/>
        <item x="14"/>
        <item x="37"/>
        <item x="29"/>
        <item x="3"/>
        <item x="27"/>
        <item x="33"/>
        <item x="17"/>
        <item x="28"/>
        <item x="7"/>
        <item x="25"/>
        <item x="41"/>
        <item x="34"/>
        <item x="30"/>
        <item x="18"/>
        <item x="6"/>
        <item x="11"/>
        <item x="39"/>
        <item x="13"/>
        <item x="42"/>
        <item x="19"/>
        <item x="5"/>
        <item x="40"/>
        <item x="16"/>
        <item x="8"/>
        <item x="4"/>
        <item x="35"/>
        <item x="1"/>
        <item x="0"/>
        <item x="23"/>
        <item t="default"/>
      </items>
    </pivotField>
    <pivotField showAll="0">
      <items count="12">
        <item x="0"/>
        <item x="8"/>
        <item x="6"/>
        <item x="3"/>
        <item x="10"/>
        <item x="7"/>
        <item x="4"/>
        <item x="9"/>
        <item x="2"/>
        <item x="1"/>
        <item x="5"/>
        <item t="default"/>
      </items>
    </pivotField>
    <pivotField showAll="0">
      <items count="24">
        <item x="18"/>
        <item x="13"/>
        <item x="12"/>
        <item x="14"/>
        <item x="19"/>
        <item x="6"/>
        <item x="3"/>
        <item x="17"/>
        <item x="0"/>
        <item x="15"/>
        <item x="7"/>
        <item x="11"/>
        <item x="22"/>
        <item x="5"/>
        <item x="2"/>
        <item x="16"/>
        <item x="4"/>
        <item x="8"/>
        <item x="1"/>
        <item x="10"/>
        <item x="9"/>
        <item x="21"/>
        <item x="20"/>
        <item t="default"/>
      </items>
    </pivotField>
    <pivotField showAll="0">
      <items count="3">
        <item x="0"/>
        <item x="1"/>
        <item t="default"/>
      </items>
    </pivotField>
    <pivotField axis="axisRow" dataField="1" showAll="0" measureFilter="1" maxSubtotal="1">
      <items count="62">
        <item x="47"/>
        <item x="42"/>
        <item x="45"/>
        <item x="51"/>
        <item x="31"/>
        <item x="26"/>
        <item x="57"/>
        <item x="60"/>
        <item x="38"/>
        <item x="35"/>
        <item x="44"/>
        <item x="27"/>
        <item x="9"/>
        <item x="12"/>
        <item x="10"/>
        <item x="50"/>
        <item x="41"/>
        <item x="40"/>
        <item x="17"/>
        <item x="33"/>
        <item x="54"/>
        <item x="56"/>
        <item x="32"/>
        <item x="49"/>
        <item x="55"/>
        <item x="52"/>
        <item x="13"/>
        <item x="39"/>
        <item x="2"/>
        <item x="7"/>
        <item x="59"/>
        <item x="36"/>
        <item x="30"/>
        <item x="23"/>
        <item x="53"/>
        <item x="28"/>
        <item x="34"/>
        <item x="43"/>
        <item x="16"/>
        <item x="22"/>
        <item x="4"/>
        <item x="8"/>
        <item x="21"/>
        <item x="24"/>
        <item x="1"/>
        <item x="11"/>
        <item x="37"/>
        <item x="15"/>
        <item x="3"/>
        <item x="19"/>
        <item x="20"/>
        <item x="0"/>
        <item x="14"/>
        <item x="6"/>
        <item x="5"/>
        <item x="29"/>
        <item x="25"/>
        <item x="46"/>
        <item x="18"/>
        <item x="48"/>
        <item x="58"/>
        <item t="max"/>
      </items>
    </pivotField>
    <pivotField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0" showAll="0"/>
    <pivotField showAll="0"/>
    <pivotField numFmtId="164" showAll="0"/>
  </pivotFields>
  <rowFields count="1">
    <field x="7"/>
  </rowFields>
  <rowItems count="11"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 t="grand">
      <x/>
    </i>
  </rowItems>
  <colItems count="1">
    <i/>
  </colItems>
  <dataFields count="1">
    <dataField name="Contagem de Debut Year" fld="7" subtotal="count" baseField="7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untry_of_Origin" xr10:uid="{9B048F0F-F90D-4DF1-964A-913AD0B4C64B}" sourceName="Country of Origin">
  <pivotTables>
    <pivotTable tabId="7" name="Tabela dinâmica4"/>
    <pivotTable tabId="7" name="Tabela dinâmica1"/>
    <pivotTable tabId="7" name="Tabela dinâmica2"/>
    <pivotTable tabId="7" name="Tabela dinâmica5"/>
  </pivotTables>
  <data>
    <tabular pivotCacheId="906702206">
      <items count="43">
        <i x="15" s="1"/>
        <i x="2" s="1"/>
        <i x="36" s="1"/>
        <i x="38" s="1"/>
        <i x="31" s="1"/>
        <i x="10" s="1"/>
        <i x="9" s="1"/>
        <i x="21" s="1"/>
        <i x="12" s="1"/>
        <i x="20" s="1"/>
        <i x="32" s="1"/>
        <i x="24" s="1"/>
        <i x="26" s="1"/>
        <i x="22" s="1"/>
        <i x="14" s="1"/>
        <i x="37" s="1"/>
        <i x="29" s="1"/>
        <i x="3" s="1"/>
        <i x="27" s="1"/>
        <i x="33" s="1"/>
        <i x="17" s="1"/>
        <i x="28" s="1"/>
        <i x="7" s="1"/>
        <i x="25" s="1"/>
        <i x="41" s="1"/>
        <i x="34" s="1"/>
        <i x="30" s="1"/>
        <i x="18" s="1"/>
        <i x="6" s="1"/>
        <i x="11" s="1"/>
        <i x="39" s="1"/>
        <i x="13" s="1"/>
        <i x="42" s="1"/>
        <i x="19" s="1"/>
        <i x="5" s="1"/>
        <i x="40" s="1"/>
        <i x="16" s="1"/>
        <i x="8" s="1"/>
        <i x="4" s="1"/>
        <i x="35" s="1"/>
        <i x="1" s="1"/>
        <i x="0" s="1"/>
        <i x="2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x" xr10:uid="{52FC4198-5337-46E6-886D-1A901C7DA5C7}" sourceName="Sex">
  <pivotTables>
    <pivotTable tabId="7" name="Tabela dinâmica5"/>
    <pivotTable tabId="7" name="Tabela dinâmica2"/>
    <pivotTable tabId="7" name="Tabela dinâmica3"/>
    <pivotTable tabId="7" name="Tabela dinâmica4"/>
  </pivotTables>
  <data>
    <tabular pivotCacheId="906702206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imary_Language" xr10:uid="{643169DC-01F0-46D1-9712-8FFC1865E59A}" sourceName="Primary Language">
  <pivotTables>
    <pivotTable tabId="7" name="Tabela dinâmica5"/>
    <pivotTable tabId="7" name="Tabela dinâmica1"/>
    <pivotTable tabId="7" name="Tabela dinâmica2"/>
    <pivotTable tabId="7" name="Tabela dinâmica3"/>
    <pivotTable tabId="7" name="Tabela dinâmica4"/>
  </pivotTables>
  <data>
    <tabular pivotCacheId="906702206">
      <items count="11">
        <i x="0" s="1"/>
        <i x="8" s="1"/>
        <i x="6" s="1"/>
        <i x="3" s="1"/>
        <i x="10" s="1"/>
        <i x="7" s="1"/>
        <i x="4" s="1"/>
        <i x="9" s="1"/>
        <i x="2" s="1"/>
        <i x="1" s="1"/>
        <i x="5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imary_Genre" xr10:uid="{46E86116-0A72-4F14-A58B-F52B10F0832A}" sourceName="Primary Genre">
  <pivotTables>
    <pivotTable tabId="7" name="Tabela dinâmica5"/>
    <pivotTable tabId="7" name="Tabela dinâmica1"/>
    <pivotTable tabId="7" name="Tabela dinâmica2"/>
    <pivotTable tabId="7" name="Tabela dinâmica3"/>
  </pivotTables>
  <data>
    <tabular pivotCacheId="906702206">
      <items count="23">
        <i x="18" s="1"/>
        <i x="13" s="1"/>
        <i x="12" s="1"/>
        <i x="14" s="1"/>
        <i x="19" s="1"/>
        <i x="6" s="1"/>
        <i x="3" s="1"/>
        <i x="17" s="1"/>
        <i x="0" s="1"/>
        <i x="15" s="1"/>
        <i x="7" s="1"/>
        <i x="11" s="1"/>
        <i x="22" s="1"/>
        <i x="5" s="1"/>
        <i x="2" s="1"/>
        <i x="16" s="1"/>
        <i x="4" s="1"/>
        <i x="8" s="1"/>
        <i x="1" s="1"/>
        <i x="10" s="1"/>
        <i x="9" s="1"/>
        <i x="21" s="1"/>
        <i x="2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of Origin" xr10:uid="{3AB3D58F-EEEC-465A-82EF-6ABB44C4FC95}" cache="SegmentaçãodeDados_Country_of_Origin" caption="Country of Origin" startItem="40" style="SlicerStyleDark1" rowHeight="247650"/>
  <slicer name="Sex" xr10:uid="{A3E8F171-DFD8-48B8-AE93-B8932DD0FD45}" cache="SegmentaçãodeDados_Sex" caption="Sex" style="SlicerStyleDark1" rowHeight="247650"/>
  <slicer name="Primary Language" xr10:uid="{0212D406-E194-43D1-BA5E-1F55E681BCBC}" cache="SegmentaçãodeDados_Primary_Language" caption="Primary Language" style="SlicerStyleDark1" rowHeight="247650"/>
  <slicer name="Primary Genre" xr10:uid="{B53AFD4C-22B2-45E0-BFBA-FC3F40CCD5CD}" cache="SegmentaçãodeDados_Primary_Genre" caption="Primary Genre" startItem="12" style="SlicerStyleDark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FC0603-C729-43B2-A018-C27EA1A482F1}" name="Tabela_base" displayName="Tabela_base" ref="A1:S501" totalsRowShown="0">
  <autoFilter ref="A1:S501" xr:uid="{B9FC0603-C729-43B2-A018-C27EA1A482F1}"/>
  <tableColumns count="19">
    <tableColumn id="37" xr3:uid="{1007AEA9-BB2F-4FE8-8423-9FA9EC3BF65A}" name="ID" dataDxfId="6"/>
    <tableColumn id="1" xr3:uid="{12C22E2D-3C3F-4D16-945F-F4696792479C}" name="Artist Name"/>
    <tableColumn id="2" xr3:uid="{07F9E088-BA81-48FA-B6A7-85E236A87541}" name="Sex"/>
    <tableColumn id="3" xr3:uid="{221BC15E-81C1-4BA3-BCA0-0D608F04E5C9}" name="Country of Origin"/>
    <tableColumn id="4" xr3:uid="{C6294051-85AB-4614-B5E8-45C833C9E3D8}" name="Primary Language"/>
    <tableColumn id="5" xr3:uid="{1B163252-14C0-41E9-85FF-54221A37FBEB}" name="Primary Genre"/>
    <tableColumn id="6" xr3:uid="{06271596-D2F7-4DE0-BF36-CCDB9D5F990B}" name=" Artist Type"/>
    <tableColumn id="7" xr3:uid="{DB1E0D93-3027-4012-B528-8D42AF94A7DC}" name="Debut Year"/>
    <tableColumn id="8" xr3:uid="{2CB513B7-D3CD-40A6-8F77-029888DC3E80}" name="Total Streams (in millions)"/>
    <tableColumn id="9" xr3:uid="{C8A753CE-3120-4791-B400-C2D929DB4395}" name="Lead Streams (in millions)"/>
    <tableColumn id="10" xr3:uid="{DD52B4BB-7877-418E-8137-E3EF2044045B}" name="% of Lead Streams" dataDxfId="5"/>
    <tableColumn id="11" xr3:uid="{41440739-826F-4584-AC19-14CE9F2D9DD7}" name="Feature Streams (in millions)"/>
    <tableColumn id="12" xr3:uid="{983C9CD3-498D-4E86-B955-CF46841D9391}" name="% of Feature Streams" dataDxfId="4"/>
    <tableColumn id="13" xr3:uid="{BFA2E325-6964-4034-BBEC-AB6DEDD6EDA9}" name="Solo Streams (in millions)"/>
    <tableColumn id="14" xr3:uid="{FC208D98-2700-4559-BB0A-2C64751E0315}" name="% of Solo Streams" dataDxfId="3"/>
    <tableColumn id="15" xr3:uid="{6606E74F-3229-447F-9462-9B65495B2BEE}" name="Collaborative Streams (in millions)"/>
    <tableColumn id="16" xr3:uid="{D58929C1-1173-461E-A530-71F48AC7FF4D}" name="% of Collaborative Streams" dataDxfId="2"/>
    <tableColumn id="17" xr3:uid="{FEF745A3-FE31-4A35-A317-2D78B1ACDFDE}" name="Warnings" dataDxfId="1">
      <calculatedColumnFormula>IFERROR(IF(OR(Tabela_base[[#This Row],[Lead Streams (in millions)]]&gt;Tabela_base[[#This Row],[Total Streams (in millions)]],Tabela_base[[#This Row],[Feature Streams (in millions)]]&gt;Tabela_base[[#This Row],[Total Streams (in millions)]]),"Inconsistency","OK"),"Error")</calculatedColumnFormula>
    </tableColumn>
    <tableColumn id="18" xr3:uid="{5C0CB71F-854D-4612-B171-736F8393DBDB}" name="Difference number" dataDxfId="0">
      <calculatedColumnFormula>Tabela_base[[#This Row],[Total Streams (in millions)]]-(Tabela_base[[#This Row],[Lead Streams (in millions)]]+Tabela_base[[#This Row],[Feature Streams (in millions)]])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6B02-0E0E-4B83-8E84-56A890CACBA1}">
  <dimension ref="A1:AF132"/>
  <sheetViews>
    <sheetView showGridLines="0" tabSelected="1" topLeftCell="A5" workbookViewId="0">
      <selection activeCell="B2" sqref="B2"/>
    </sheetView>
  </sheetViews>
  <sheetFormatPr defaultRowHeight="14.4" x14ac:dyDescent="0.3"/>
  <cols>
    <col min="1" max="1" width="37.44140625" bestFit="1" customWidth="1"/>
    <col min="2" max="2" width="27.33203125" customWidth="1"/>
  </cols>
  <sheetData>
    <row r="1" spans="1:32" ht="31.2" x14ac:dyDescent="0.6">
      <c r="A1" s="26" t="s">
        <v>602</v>
      </c>
      <c r="B1" s="27"/>
      <c r="C1" s="27"/>
      <c r="D1" s="28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32" ht="18" x14ac:dyDescent="0.35">
      <c r="A2" s="4" t="s">
        <v>600</v>
      </c>
      <c r="B2" s="8" t="s">
        <v>22</v>
      </c>
      <c r="C2" s="10" t="s">
        <v>1</v>
      </c>
      <c r="D2" s="9" t="str" cm="1">
        <f t="array" ref="D2">_xlfn.XLOOKUP($B$2,Tabela_base[[#All],[Artist Name]],Tabela_base[[#All],[Sex]],"Null",0)</f>
        <v>Male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32" ht="18" x14ac:dyDescent="0.35">
      <c r="A3" s="5" t="s">
        <v>2</v>
      </c>
      <c r="B3" s="23" t="str" cm="1">
        <f t="array" ref="B3">_xlfn.XLOOKUP($B$2,Tabela_base[[#All],[Artist Name]],Tabela_base[[#All],[Country of Origin]],"Null",0)</f>
        <v>United States</v>
      </c>
      <c r="C3" s="23"/>
      <c r="D3" s="29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32" ht="18" x14ac:dyDescent="0.35">
      <c r="A4" s="6" t="s">
        <v>3</v>
      </c>
      <c r="B4" s="24" t="str" cm="1">
        <f t="array" ref="B4">_xlfn.XLOOKUP($B$2,Tabela_base[[#All],[Artist Name]],Tabela_base[[#All],[Primary Language]],"Null",0)</f>
        <v>English</v>
      </c>
      <c r="C4" s="24"/>
      <c r="D4" s="30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32" ht="18" x14ac:dyDescent="0.35">
      <c r="A5" s="5" t="s">
        <v>4</v>
      </c>
      <c r="B5" s="23" t="str" cm="1">
        <f t="array" ref="B5">_xlfn.XLOOKUP($B$2,Tabela_base[[#All],[Artist Name]],Tabela_base[[#All],[Primary Genre]],"Null",0)</f>
        <v>Hip-Hop</v>
      </c>
      <c r="C5" s="23"/>
      <c r="D5" s="29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32" ht="18" x14ac:dyDescent="0.35">
      <c r="A6" s="6" t="s">
        <v>5</v>
      </c>
      <c r="B6" s="24" t="str" cm="1">
        <f t="array" ref="B6">_xlfn.XLOOKUP($B$2,Tabela_base[[#All],[Artist Name]],Tabela_base[[#All],[ Artist Type]],"Null",0)</f>
        <v>Solo</v>
      </c>
      <c r="C6" s="24"/>
      <c r="D6" s="30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32" ht="18" x14ac:dyDescent="0.35">
      <c r="A7" s="5" t="s">
        <v>6</v>
      </c>
      <c r="B7" s="23" cm="1">
        <f t="array" ref="B7">_xlfn.XLOOKUP($B$2,Tabela_base[[#All],[Artist Name]],Tabela_base[[#All],[Debut Year]],"Null",0)</f>
        <v>2007</v>
      </c>
      <c r="C7" s="23"/>
      <c r="D7" s="29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32" ht="18" x14ac:dyDescent="0.35">
      <c r="A8" s="6" t="s">
        <v>7</v>
      </c>
      <c r="B8" s="24" cm="1">
        <f t="array" ref="B8">_xlfn.XLOOKUP($B$2,Tabela_base[[#All],[Artist Name]],Tabela_base[[#All],[Total Streams (in millions)]],"Null",0)</f>
        <v>13978.6</v>
      </c>
      <c r="C8" s="24"/>
      <c r="D8" s="30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32" ht="18" x14ac:dyDescent="0.35">
      <c r="A9" s="5" t="s">
        <v>8</v>
      </c>
      <c r="B9" s="23" cm="1">
        <f t="array" ref="B9">_xlfn.XLOOKUP($B$2,Tabela_base[[#All],[Artist Name]],Tabela_base[[#All],[Lead Streams (in millions)]],"Null",0)</f>
        <v>4090.4</v>
      </c>
      <c r="C9" s="23"/>
      <c r="D9" s="11" cm="1">
        <f t="array" ref="D9">_xlfn.XLOOKUP($B$2,Tabela_base[[#All],[Artist Name]],Tabela_base[[#All],[% of Lead Streams]],"Null",0)</f>
        <v>0.29260000000000003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spans="1:32" ht="18" x14ac:dyDescent="0.35">
      <c r="A10" s="6" t="s">
        <v>10</v>
      </c>
      <c r="B10" s="24" cm="1">
        <f t="array" ref="B10">_xlfn.XLOOKUP($B$2,Tabela_base[[#All],[Artist Name]],Tabela_base[[#All],[Feature Streams (in millions)]],"Null",0)</f>
        <v>9888.1</v>
      </c>
      <c r="C10" s="24"/>
      <c r="D10" s="12" cm="1">
        <f t="array" ref="D10">_xlfn.XLOOKUP($B$2,Tabela_base[[#All],[Artist Name]],Tabela_base[[#All],[% of Feature Streams]],"Null",0)</f>
        <v>0.70740000000000003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spans="1:32" ht="18" x14ac:dyDescent="0.35">
      <c r="A11" s="5" t="s">
        <v>12</v>
      </c>
      <c r="B11" s="23" cm="1">
        <f t="array" ref="B11">_xlfn.XLOOKUP($B$2,Tabela_base[[#All],[Artist Name]],Tabela_base[[#All],[Solo Streams (in millions)]],"Null",0)</f>
        <v>895.7</v>
      </c>
      <c r="C11" s="23"/>
      <c r="D11" s="11" cm="1">
        <f t="array" ref="D11">_xlfn.XLOOKUP($B$2,Tabela_base[[#All],[Artist Name]],Tabela_base[[#All],[% of Solo Streams]],"Null",0)</f>
        <v>6.4100000000000004E-2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32" ht="18" x14ac:dyDescent="0.35">
      <c r="A12" s="7" t="s">
        <v>14</v>
      </c>
      <c r="B12" s="25" cm="1">
        <f t="array" ref="B12">_xlfn.XLOOKUP($B$2,Tabela_base[[#All],[Artist Name]],Tabela_base[[#All],[Collaborative Streams (in millions)]],"Null",0)</f>
        <v>13082.9</v>
      </c>
      <c r="C12" s="25"/>
      <c r="D12" s="13" cm="1">
        <f t="array" ref="D12">_xlfn.XLOOKUP($B$2,Tabela_base[[#All],[Artist Name]],Tabela_base[[#All],[% of Collaborative Streams]],"Null",0)</f>
        <v>0.93589999999999995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32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1:32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1:32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1:32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1:32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1:32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1:32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1:32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1:32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1:32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1:32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1:32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1:32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1:32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1:32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1:32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1:32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spans="1:32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1:32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1:32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1:32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32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1:32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1:32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1:32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spans="1:32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spans="1:32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spans="1:32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spans="1:32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 spans="1:32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</row>
    <row r="75" spans="1:32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</row>
    <row r="76" spans="1:32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</row>
    <row r="77" spans="1:32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</row>
    <row r="78" spans="1:32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</row>
    <row r="79" spans="1:32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</row>
    <row r="80" spans="1:32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</row>
    <row r="81" spans="1:32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</row>
    <row r="82" spans="1:32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</row>
    <row r="83" spans="1:32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</row>
    <row r="84" spans="1:32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</row>
    <row r="85" spans="1:32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</row>
    <row r="86" spans="1:32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</row>
    <row r="87" spans="1:32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spans="1:32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</row>
    <row r="89" spans="1:32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spans="1:32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spans="1:32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</row>
    <row r="92" spans="1:32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spans="1:32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spans="1:32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spans="1:32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spans="1:32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</row>
    <row r="97" spans="1:32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</row>
    <row r="98" spans="1:32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</row>
    <row r="99" spans="1:32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</row>
    <row r="100" spans="1:32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</row>
    <row r="101" spans="1:32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</row>
    <row r="102" spans="1:32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spans="1:32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</row>
    <row r="104" spans="1:32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</row>
    <row r="105" spans="1:32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</row>
    <row r="106" spans="1:32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</row>
    <row r="107" spans="1:32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</row>
    <row r="108" spans="1:32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</row>
    <row r="109" spans="1:32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</row>
    <row r="110" spans="1:32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</row>
    <row r="111" spans="1:32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</row>
    <row r="112" spans="1:32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</row>
    <row r="113" spans="1:32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</row>
    <row r="114" spans="1:32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</row>
    <row r="115" spans="1:32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</row>
    <row r="116" spans="1:32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</row>
    <row r="117" spans="1:32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spans="1:32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spans="1:32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spans="1:32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spans="1:32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spans="1:32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spans="1:32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</row>
    <row r="124" spans="1:32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</row>
    <row r="125" spans="1:32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</row>
    <row r="126" spans="1:32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</row>
    <row r="127" spans="1:32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</row>
    <row r="128" spans="1:32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</row>
    <row r="129" spans="1:32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</row>
    <row r="130" spans="1:32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</row>
    <row r="131" spans="1:32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</row>
    <row r="132" spans="1:32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</row>
  </sheetData>
  <mergeCells count="11">
    <mergeCell ref="B9:C9"/>
    <mergeCell ref="B10:C10"/>
    <mergeCell ref="B11:C11"/>
    <mergeCell ref="B12:C12"/>
    <mergeCell ref="A1:D1"/>
    <mergeCell ref="B3:D3"/>
    <mergeCell ref="B4:D4"/>
    <mergeCell ref="B5:D5"/>
    <mergeCell ref="B6:D6"/>
    <mergeCell ref="B7:D7"/>
    <mergeCell ref="B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BD15B5-824F-4CD8-9CC8-4E124FEEDF2D}">
          <x14:formula1>
            <xm:f>'Spotify Streaming Performance D'!$B$2:$B$501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EEC5-F7BF-4EB5-828F-9788B08540DE}">
  <dimension ref="A1:AF132"/>
  <sheetViews>
    <sheetView showGridLines="0" zoomScaleNormal="100" workbookViewId="0">
      <selection activeCell="B21" sqref="B21"/>
    </sheetView>
  </sheetViews>
  <sheetFormatPr defaultRowHeight="14.4" x14ac:dyDescent="0.3"/>
  <cols>
    <col min="1" max="1" width="37.44140625" bestFit="1" customWidth="1"/>
    <col min="2" max="2" width="27.33203125" customWidth="1"/>
  </cols>
  <sheetData>
    <row r="1" spans="1:32" ht="31.2" x14ac:dyDescent="0.6">
      <c r="A1" s="26" t="s">
        <v>602</v>
      </c>
      <c r="B1" s="27"/>
      <c r="C1" s="27"/>
      <c r="D1" s="28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32" ht="18" x14ac:dyDescent="0.35">
      <c r="A2" s="15" t="s">
        <v>600</v>
      </c>
      <c r="B2" s="19" t="str" cm="1">
        <f t="array" ref="B2">_xlfn.XLOOKUP($D$2,Tabela_base[[#All],[ID]],Tabela_base[[#All],[Artist Name]],"Null",0)</f>
        <v>Alfredo Olivas</v>
      </c>
      <c r="C2" s="21" t="s">
        <v>603</v>
      </c>
      <c r="D2" s="18">
        <v>23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32" ht="18" x14ac:dyDescent="0.35">
      <c r="A3" s="5" t="s">
        <v>2</v>
      </c>
      <c r="B3" s="16" t="str" cm="1">
        <f t="array" ref="B3">_xlfn.XLOOKUP($D$2,Tabela_base[[#All],[ID]],Tabela_base[[#All],[Country of Origin]],"Null",0)</f>
        <v>Mexico</v>
      </c>
      <c r="C3" s="21" t="s">
        <v>1</v>
      </c>
      <c r="D3" s="18" t="str" cm="1">
        <f t="array" ref="D3">_xlfn.XLOOKUP($D$2,Tabela_base[[#All],[ID]],Tabela_base[[#All],[Sex]],"Null",0)</f>
        <v>Male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32" ht="18" x14ac:dyDescent="0.35">
      <c r="A4" s="5" t="s">
        <v>3</v>
      </c>
      <c r="B4" s="23" t="str" cm="1">
        <f t="array" ref="B4">_xlfn.XLOOKUP($D$2,Tabela_base[[#All],[ID]],Tabela_base[[#All],[Primary Language]],"Null",0)</f>
        <v>Spanish</v>
      </c>
      <c r="C4" s="23"/>
      <c r="D4" s="29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32" ht="18" x14ac:dyDescent="0.35">
      <c r="A5" s="6" t="s">
        <v>4</v>
      </c>
      <c r="B5" s="24" t="str" cm="1">
        <f t="array" ref="B5">_xlfn.XLOOKUP($D$2,Tabela_base[[#All],[ID]],Tabela_base[[#All],[Primary Genre]],"Null",0)</f>
        <v>Regional Mexican</v>
      </c>
      <c r="C5" s="24"/>
      <c r="D5" s="30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32" ht="18" x14ac:dyDescent="0.35">
      <c r="A6" s="5" t="s">
        <v>5</v>
      </c>
      <c r="B6" s="23" t="str" cm="1">
        <f t="array" ref="B6">_xlfn.XLOOKUP($D$2,Tabela_base[[#All],[ID]],Tabela_base[[#All],[ Artist Type]],"Null",0)</f>
        <v>Solo</v>
      </c>
      <c r="C6" s="23"/>
      <c r="D6" s="29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32" ht="18" x14ac:dyDescent="0.35">
      <c r="A7" s="5" t="s">
        <v>6</v>
      </c>
      <c r="B7" s="23" cm="1">
        <f t="array" ref="B7">_xlfn.XLOOKUP($D$2,Tabela_base[[#All],[ID]],Tabela_base[[#All],[Debut Year]],"Null",0)</f>
        <v>2011</v>
      </c>
      <c r="C7" s="23"/>
      <c r="D7" s="29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32" ht="18" x14ac:dyDescent="0.35">
      <c r="A8" s="6" t="s">
        <v>7</v>
      </c>
      <c r="B8" s="24" cm="1">
        <f t="array" ref="B8">_xlfn.XLOOKUP($D$2,Tabela_base[[#All],[ID]],Tabela_base[[#All],[Total Streams (in millions)]],"Null",0)</f>
        <v>8916</v>
      </c>
      <c r="C8" s="24"/>
      <c r="D8" s="30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32" ht="18" x14ac:dyDescent="0.35">
      <c r="A9" s="5" t="s">
        <v>8</v>
      </c>
      <c r="B9" s="23" cm="1">
        <f t="array" ref="B9">_xlfn.XLOOKUP($D$2,Tabela_base[[#All],[ID]],Tabela_base[[#All],[Lead Streams (in millions)]],"Null",0)</f>
        <v>8080</v>
      </c>
      <c r="C9" s="23"/>
      <c r="D9" s="11" cm="1">
        <f t="array" ref="D9">_xlfn.XLOOKUP($D$2,Tabela_base[[#All],[ID]],Tabela_base[[#All],[% of Lead Streams]],"Null",0)</f>
        <v>0.90620000000000001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spans="1:32" ht="18" x14ac:dyDescent="0.35">
      <c r="A10" s="6" t="s">
        <v>10</v>
      </c>
      <c r="B10" s="24" cm="1">
        <f t="array" ref="B10">_xlfn.XLOOKUP($D$2,Tabela_base[[#All],[ID]],Tabela_base[[#All],[Feature Streams (in millions)]],"Null",0)</f>
        <v>844.9</v>
      </c>
      <c r="C10" s="24"/>
      <c r="D10" s="12" cm="1">
        <f t="array" ref="D10">_xlfn.XLOOKUP($D$2,Tabela_base[[#All],[ID]],Tabela_base[[#All],[% of Feature Streams]],"Null",0)</f>
        <v>9.4799999999999995E-2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spans="1:32" ht="18" x14ac:dyDescent="0.35">
      <c r="A11" s="5" t="s">
        <v>12</v>
      </c>
      <c r="B11" s="23" cm="1">
        <f t="array" ref="B11">_xlfn.XLOOKUP($D$2,Tabela_base[[#All],[ID]],Tabela_base[[#All],[Solo Streams (in millions)]],"Null",0)</f>
        <v>7975.8</v>
      </c>
      <c r="C11" s="23"/>
      <c r="D11" s="11" cm="1">
        <f t="array" ref="D11">_xlfn.XLOOKUP($D$2,Tabela_base[[#All],[ID]],Tabela_base[[#All],[% of Solo Streams]],"Null",0)</f>
        <v>0.89449999999999996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32" ht="18" x14ac:dyDescent="0.35">
      <c r="A12" s="7" t="s">
        <v>14</v>
      </c>
      <c r="B12" s="23" cm="1">
        <f t="array" ref="B12">_xlfn.XLOOKUP($D$2,Tabela_base[[#All],[ID]],Tabela_base[[#All],[Collaborative Streams (in millions)]],"Null",0)</f>
        <v>940.2</v>
      </c>
      <c r="C12" s="23"/>
      <c r="D12" s="17" cm="1">
        <f t="array" ref="D12">_xlfn.XLOOKUP($D$2,Tabela_base[[#All],[ID]],Tabela_base[[#All],[% of Collaborative Streams]],"Null",0)</f>
        <v>0.1055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32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1:32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1:32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1:32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1:32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1:32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1:32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1:32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1:32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1:32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1:32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1:32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1:32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1:32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1:32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1:32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1:32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spans="1:32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1:32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1:32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1:32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32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1:32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1:32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1:32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spans="1:32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spans="1:32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spans="1:32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spans="1:32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 spans="1:32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</row>
    <row r="75" spans="1:32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</row>
    <row r="76" spans="1:32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</row>
    <row r="77" spans="1:32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</row>
    <row r="78" spans="1:32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</row>
    <row r="79" spans="1:32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</row>
    <row r="80" spans="1:32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</row>
    <row r="81" spans="1:32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</row>
    <row r="82" spans="1:32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</row>
    <row r="83" spans="1:32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</row>
    <row r="84" spans="1:32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</row>
    <row r="85" spans="1:32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</row>
    <row r="86" spans="1:32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</row>
    <row r="87" spans="1:32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spans="1:32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</row>
    <row r="89" spans="1:32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spans="1:32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spans="1:32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</row>
    <row r="92" spans="1:32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spans="1:32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spans="1:32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spans="1:32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spans="1:32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</row>
    <row r="97" spans="1:32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</row>
    <row r="98" spans="1:32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</row>
    <row r="99" spans="1:32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</row>
    <row r="100" spans="1:32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</row>
    <row r="101" spans="1:32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</row>
    <row r="102" spans="1:32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spans="1:32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</row>
    <row r="104" spans="1:32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</row>
    <row r="105" spans="1:32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</row>
    <row r="106" spans="1:32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</row>
    <row r="107" spans="1:32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</row>
    <row r="108" spans="1:32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</row>
    <row r="109" spans="1:32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</row>
    <row r="110" spans="1:32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</row>
    <row r="111" spans="1:32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</row>
    <row r="112" spans="1:32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</row>
    <row r="113" spans="1:32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</row>
    <row r="114" spans="1:32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</row>
    <row r="115" spans="1:32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</row>
    <row r="116" spans="1:32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</row>
    <row r="117" spans="1:32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spans="1:32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spans="1:32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spans="1:32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spans="1:32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spans="1:32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spans="1:32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</row>
    <row r="124" spans="1:32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</row>
    <row r="125" spans="1:32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</row>
    <row r="126" spans="1:32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</row>
    <row r="127" spans="1:32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</row>
    <row r="128" spans="1:32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</row>
    <row r="129" spans="1:32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</row>
    <row r="130" spans="1:32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</row>
    <row r="131" spans="1:32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</row>
    <row r="132" spans="1:32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</row>
  </sheetData>
  <mergeCells count="10">
    <mergeCell ref="A1:D1"/>
    <mergeCell ref="B4:D4"/>
    <mergeCell ref="B5:D5"/>
    <mergeCell ref="B6:D6"/>
    <mergeCell ref="B7:D7"/>
    <mergeCell ref="B8:D8"/>
    <mergeCell ref="B9:C9"/>
    <mergeCell ref="B10:C10"/>
    <mergeCell ref="B11:C11"/>
    <mergeCell ref="B12:C1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2630F2-589C-4085-A5ED-B5C103EF9A4E}">
          <x14:formula1>
            <xm:f>'Spotify Streaming Performance D'!$A$1:$A$501</xm:f>
          </x14:formula1>
          <xm:sqref>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5350-2F06-4A8A-8251-F06FE82266B7}">
  <dimension ref="A1:U501"/>
  <sheetViews>
    <sheetView topLeftCell="J1" zoomScale="80" zoomScaleNormal="80" workbookViewId="0">
      <selection activeCell="T4" sqref="T4"/>
    </sheetView>
  </sheetViews>
  <sheetFormatPr defaultRowHeight="14.4" x14ac:dyDescent="0.3"/>
  <cols>
    <col min="1" max="1" width="8.88671875" style="20"/>
    <col min="2" max="2" width="44.44140625" bestFit="1" customWidth="1"/>
    <col min="3" max="3" width="7.21875" bestFit="1" customWidth="1"/>
    <col min="4" max="4" width="19" bestFit="1" customWidth="1"/>
    <col min="5" max="5" width="19.109375" bestFit="1" customWidth="1"/>
    <col min="6" max="6" width="16.33203125" bestFit="1" customWidth="1"/>
    <col min="7" max="8" width="13.44140625" bestFit="1" customWidth="1"/>
    <col min="9" max="9" width="27.109375" bestFit="1" customWidth="1"/>
    <col min="10" max="10" width="26.88671875" bestFit="1" customWidth="1"/>
    <col min="11" max="11" width="20" bestFit="1" customWidth="1"/>
    <col min="12" max="12" width="29.5546875" bestFit="1" customWidth="1"/>
    <col min="13" max="13" width="22.44140625" bestFit="1" customWidth="1"/>
    <col min="14" max="14" width="26.6640625" bestFit="1" customWidth="1"/>
    <col min="15" max="15" width="19.6640625" bestFit="1" customWidth="1"/>
    <col min="16" max="16" width="34.88671875" bestFit="1" customWidth="1"/>
    <col min="17" max="17" width="27.88671875" bestFit="1" customWidth="1"/>
    <col min="18" max="18" width="12.88671875" bestFit="1" customWidth="1"/>
    <col min="19" max="19" width="20.6640625" style="2" bestFit="1" customWidth="1"/>
  </cols>
  <sheetData>
    <row r="1" spans="1:21" x14ac:dyDescent="0.3">
      <c r="A1" s="20" t="s">
        <v>601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599</v>
      </c>
      <c r="S1" s="3" t="s">
        <v>598</v>
      </c>
    </row>
    <row r="2" spans="1:21" x14ac:dyDescent="0.3">
      <c r="A2" s="20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2014</v>
      </c>
      <c r="I2">
        <v>21202.3</v>
      </c>
      <c r="J2">
        <v>20357.3</v>
      </c>
      <c r="K2" s="1">
        <v>0.96009999999999995</v>
      </c>
      <c r="L2">
        <v>851.6</v>
      </c>
      <c r="M2" s="1">
        <v>4.02E-2</v>
      </c>
      <c r="N2">
        <v>16646.900000000001</v>
      </c>
      <c r="O2" s="1">
        <v>0.78510000000000002</v>
      </c>
      <c r="P2">
        <v>4555.3999999999996</v>
      </c>
      <c r="Q2" s="1">
        <v>0.21490000000000001</v>
      </c>
      <c r="R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" s="2">
        <f>Tabela_base[[#This Row],[Total Streams (in millions)]]-(Tabela_base[[#This Row],[Lead Streams (in millions)]]+Tabela_base[[#This Row],[Feature Streams (in millions)]])</f>
        <v>-6.5999999999985448</v>
      </c>
      <c r="U2" s="2"/>
    </row>
    <row r="3" spans="1:21" x14ac:dyDescent="0.3">
      <c r="A3" s="20">
        <v>2</v>
      </c>
      <c r="B3" t="s">
        <v>22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>
        <v>2007</v>
      </c>
      <c r="I3">
        <v>13978.6</v>
      </c>
      <c r="J3">
        <v>4090.4</v>
      </c>
      <c r="K3" s="1">
        <v>0.29260000000000003</v>
      </c>
      <c r="L3">
        <v>9888.1</v>
      </c>
      <c r="M3" s="1">
        <v>0.70740000000000003</v>
      </c>
      <c r="N3">
        <v>895.7</v>
      </c>
      <c r="O3" s="1">
        <v>6.4100000000000004E-2</v>
      </c>
      <c r="P3">
        <v>13082.9</v>
      </c>
      <c r="Q3" s="1">
        <v>0.93589999999999995</v>
      </c>
      <c r="R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" s="2">
        <f>Tabela_base[[#This Row],[Total Streams (in millions)]]-(Tabela_base[[#This Row],[Lead Streams (in millions)]]+Tabela_base[[#This Row],[Feature Streams (in millions)]])</f>
        <v>0.1000000000003638</v>
      </c>
    </row>
    <row r="4" spans="1:21" x14ac:dyDescent="0.3">
      <c r="A4" s="20">
        <v>3</v>
      </c>
      <c r="B4" t="s">
        <v>24</v>
      </c>
      <c r="C4" t="s">
        <v>17</v>
      </c>
      <c r="D4" t="s">
        <v>25</v>
      </c>
      <c r="E4" t="s">
        <v>19</v>
      </c>
      <c r="F4" t="s">
        <v>20</v>
      </c>
      <c r="G4" t="s">
        <v>23</v>
      </c>
      <c r="H4">
        <v>2014</v>
      </c>
      <c r="I4">
        <v>39024.300000000003</v>
      </c>
      <c r="J4">
        <v>15878</v>
      </c>
      <c r="K4" s="1">
        <v>0.40689999999999998</v>
      </c>
      <c r="L4">
        <v>23155.599999999999</v>
      </c>
      <c r="M4" s="1">
        <v>0.59340000000000004</v>
      </c>
      <c r="N4">
        <v>7883.1</v>
      </c>
      <c r="O4" s="1">
        <v>0.20200000000000001</v>
      </c>
      <c r="P4">
        <v>31141.200000000001</v>
      </c>
      <c r="Q4" s="1">
        <v>0.79800000000000004</v>
      </c>
      <c r="R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" s="2">
        <f>Tabela_base[[#This Row],[Total Streams (in millions)]]-(Tabela_base[[#This Row],[Lead Streams (in millions)]]+Tabela_base[[#This Row],[Feature Streams (in millions)]])</f>
        <v>-9.2999999999956344</v>
      </c>
    </row>
    <row r="5" spans="1:21" x14ac:dyDescent="0.3">
      <c r="A5" s="20">
        <v>4</v>
      </c>
      <c r="B5" t="s">
        <v>26</v>
      </c>
      <c r="C5" t="s">
        <v>17</v>
      </c>
      <c r="D5" t="s">
        <v>18</v>
      </c>
      <c r="E5" t="s">
        <v>19</v>
      </c>
      <c r="F5" t="s">
        <v>20</v>
      </c>
      <c r="G5" t="s">
        <v>23</v>
      </c>
      <c r="H5">
        <v>1991</v>
      </c>
      <c r="I5">
        <v>14116.7</v>
      </c>
      <c r="J5">
        <v>13659.9</v>
      </c>
      <c r="K5" s="1">
        <v>0.96760000000000002</v>
      </c>
      <c r="L5">
        <v>462.4</v>
      </c>
      <c r="M5" s="1">
        <v>3.2800000000000003E-2</v>
      </c>
      <c r="N5">
        <v>5423.2</v>
      </c>
      <c r="O5" s="1">
        <v>0.38419999999999999</v>
      </c>
      <c r="P5">
        <v>8693.5</v>
      </c>
      <c r="Q5" s="1">
        <v>0.61580000000000001</v>
      </c>
      <c r="R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5" s="2">
        <f>Tabela_base[[#This Row],[Total Streams (in millions)]]-(Tabela_base[[#This Row],[Lead Streams (in millions)]]+Tabela_base[[#This Row],[Feature Streams (in millions)]])</f>
        <v>-5.5999999999985448</v>
      </c>
    </row>
    <row r="6" spans="1:21" x14ac:dyDescent="0.3">
      <c r="A6" s="20">
        <v>5</v>
      </c>
      <c r="B6" t="s">
        <v>27</v>
      </c>
      <c r="C6" t="s">
        <v>17</v>
      </c>
      <c r="D6" t="s">
        <v>28</v>
      </c>
      <c r="E6" t="s">
        <v>19</v>
      </c>
      <c r="F6" t="s">
        <v>29</v>
      </c>
      <c r="G6" t="s">
        <v>21</v>
      </c>
      <c r="H6">
        <v>2011</v>
      </c>
      <c r="I6">
        <v>12788.3</v>
      </c>
      <c r="J6">
        <v>12025.6</v>
      </c>
      <c r="K6" s="1">
        <v>0.94040000000000001</v>
      </c>
      <c r="L6">
        <v>766.3</v>
      </c>
      <c r="M6" s="1">
        <v>5.9900000000000002E-2</v>
      </c>
      <c r="N6">
        <v>11526.4</v>
      </c>
      <c r="O6" s="1">
        <v>0.90129999999999999</v>
      </c>
      <c r="P6">
        <v>1261.9000000000001</v>
      </c>
      <c r="Q6" s="1">
        <v>9.8699999999999996E-2</v>
      </c>
      <c r="R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6" s="2">
        <f>Tabela_base[[#This Row],[Total Streams (in millions)]]-(Tabela_base[[#This Row],[Lead Streams (in millions)]]+Tabela_base[[#This Row],[Feature Streams (in millions)]])</f>
        <v>-3.6000000000003638</v>
      </c>
    </row>
    <row r="7" spans="1:21" x14ac:dyDescent="0.3">
      <c r="A7" s="20">
        <v>6</v>
      </c>
      <c r="B7" t="s">
        <v>30</v>
      </c>
      <c r="C7" t="s">
        <v>17</v>
      </c>
      <c r="D7" t="s">
        <v>18</v>
      </c>
      <c r="E7" t="s">
        <v>19</v>
      </c>
      <c r="F7" t="s">
        <v>20</v>
      </c>
      <c r="G7" t="s">
        <v>23</v>
      </c>
      <c r="H7">
        <v>2003</v>
      </c>
      <c r="I7">
        <v>20444.599999999999</v>
      </c>
      <c r="J7">
        <v>14112.2</v>
      </c>
      <c r="K7" s="1">
        <v>0.69030000000000002</v>
      </c>
      <c r="L7">
        <v>6342</v>
      </c>
      <c r="M7" s="1">
        <v>0.31019999999999998</v>
      </c>
      <c r="N7">
        <v>8484.4</v>
      </c>
      <c r="O7" s="1">
        <v>0.41499999999999998</v>
      </c>
      <c r="P7">
        <v>11960.2</v>
      </c>
      <c r="Q7" s="1">
        <v>0.58499999999999996</v>
      </c>
      <c r="R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7" s="2">
        <f>Tabela_base[[#This Row],[Total Streams (in millions)]]-(Tabela_base[[#This Row],[Lead Streams (in millions)]]+Tabela_base[[#This Row],[Feature Streams (in millions)]])</f>
        <v>-9.6000000000021828</v>
      </c>
    </row>
    <row r="8" spans="1:21" x14ac:dyDescent="0.3">
      <c r="A8" s="20">
        <v>7</v>
      </c>
      <c r="B8" t="s">
        <v>31</v>
      </c>
      <c r="C8" t="s">
        <v>17</v>
      </c>
      <c r="D8" t="s">
        <v>18</v>
      </c>
      <c r="E8" t="s">
        <v>19</v>
      </c>
      <c r="F8" t="s">
        <v>20</v>
      </c>
      <c r="G8" t="s">
        <v>23</v>
      </c>
      <c r="H8">
        <v>2017</v>
      </c>
      <c r="I8">
        <v>8240.2000000000007</v>
      </c>
      <c r="J8">
        <v>6845.4</v>
      </c>
      <c r="K8" s="1">
        <v>0.83069999999999999</v>
      </c>
      <c r="L8">
        <v>1394.8</v>
      </c>
      <c r="M8" s="1">
        <v>0.16930000000000001</v>
      </c>
      <c r="N8">
        <v>2320.6999999999998</v>
      </c>
      <c r="O8" s="1">
        <v>0.28160000000000002</v>
      </c>
      <c r="P8">
        <v>5919.5</v>
      </c>
      <c r="Q8" s="1">
        <v>0.71840000000000004</v>
      </c>
      <c r="R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8" s="2">
        <f>Tabela_base[[#This Row],[Total Streams (in millions)]]-(Tabela_base[[#This Row],[Lead Streams (in millions)]]+Tabela_base[[#This Row],[Feature Streams (in millions)]])</f>
        <v>0</v>
      </c>
    </row>
    <row r="9" spans="1:21" x14ac:dyDescent="0.3">
      <c r="A9" s="20">
        <v>8</v>
      </c>
      <c r="B9" t="s">
        <v>32</v>
      </c>
      <c r="C9" t="s">
        <v>17</v>
      </c>
      <c r="D9" t="s">
        <v>18</v>
      </c>
      <c r="E9" t="s">
        <v>19</v>
      </c>
      <c r="F9" t="s">
        <v>33</v>
      </c>
      <c r="G9" t="s">
        <v>23</v>
      </c>
      <c r="H9">
        <v>2016</v>
      </c>
      <c r="I9">
        <v>7810.5</v>
      </c>
      <c r="J9">
        <v>3575.2</v>
      </c>
      <c r="K9" s="1">
        <v>0.4577</v>
      </c>
      <c r="L9">
        <v>4235.2</v>
      </c>
      <c r="M9" s="1">
        <v>0.54220000000000002</v>
      </c>
      <c r="N9">
        <v>2342.1</v>
      </c>
      <c r="O9" s="1">
        <v>0.2999</v>
      </c>
      <c r="P9">
        <v>5468.4</v>
      </c>
      <c r="Q9" s="1">
        <v>0.70009999999999994</v>
      </c>
      <c r="R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9" s="2">
        <f>Tabela_base[[#This Row],[Total Streams (in millions)]]-(Tabela_base[[#This Row],[Lead Streams (in millions)]]+Tabela_base[[#This Row],[Feature Streams (in millions)]])</f>
        <v>0.1000000000003638</v>
      </c>
    </row>
    <row r="10" spans="1:21" x14ac:dyDescent="0.3">
      <c r="A10" s="20">
        <v>9</v>
      </c>
      <c r="B10" t="s">
        <v>34</v>
      </c>
      <c r="C10" t="s">
        <v>17</v>
      </c>
      <c r="D10" t="s">
        <v>18</v>
      </c>
      <c r="E10" t="s">
        <v>19</v>
      </c>
      <c r="F10" t="s">
        <v>20</v>
      </c>
      <c r="G10" t="s">
        <v>23</v>
      </c>
      <c r="H10">
        <v>2016</v>
      </c>
      <c r="I10">
        <v>16877.3</v>
      </c>
      <c r="J10">
        <v>11425.9</v>
      </c>
      <c r="K10" s="1">
        <v>0.67700000000000005</v>
      </c>
      <c r="L10">
        <v>5455.1</v>
      </c>
      <c r="M10" s="1">
        <v>0.32319999999999999</v>
      </c>
      <c r="N10">
        <v>6395.3</v>
      </c>
      <c r="O10" s="1">
        <v>0.37890000000000001</v>
      </c>
      <c r="P10">
        <v>10482</v>
      </c>
      <c r="Q10" s="1">
        <v>0.62109999999999999</v>
      </c>
      <c r="R1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0" s="2">
        <f>Tabela_base[[#This Row],[Total Streams (in millions)]]-(Tabela_base[[#This Row],[Lead Streams (in millions)]]+Tabela_base[[#This Row],[Feature Streams (in millions)]])</f>
        <v>-3.7000000000007276</v>
      </c>
    </row>
    <row r="11" spans="1:21" x14ac:dyDescent="0.3">
      <c r="A11" s="20">
        <v>10</v>
      </c>
      <c r="B11" t="s">
        <v>35</v>
      </c>
      <c r="C11" t="s">
        <v>17</v>
      </c>
      <c r="D11" t="s">
        <v>18</v>
      </c>
      <c r="E11" t="s">
        <v>19</v>
      </c>
      <c r="F11" t="s">
        <v>20</v>
      </c>
      <c r="G11" t="s">
        <v>23</v>
      </c>
      <c r="H11">
        <v>2011</v>
      </c>
      <c r="I11">
        <v>24217.200000000001</v>
      </c>
      <c r="J11">
        <v>14721.3</v>
      </c>
      <c r="K11" s="1">
        <v>0.6079</v>
      </c>
      <c r="L11">
        <v>9504.2999999999993</v>
      </c>
      <c r="M11" s="1">
        <v>0.39250000000000002</v>
      </c>
      <c r="N11">
        <v>6253.7</v>
      </c>
      <c r="O11" s="1">
        <v>0.25819999999999999</v>
      </c>
      <c r="P11">
        <v>17963.5</v>
      </c>
      <c r="Q11" s="1">
        <v>0.74180000000000001</v>
      </c>
      <c r="R1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1" s="2">
        <f>Tabela_base[[#This Row],[Total Streams (in millions)]]-(Tabela_base[[#This Row],[Lead Streams (in millions)]]+Tabela_base[[#This Row],[Feature Streams (in millions)]])</f>
        <v>-8.3999999999978172</v>
      </c>
    </row>
    <row r="12" spans="1:21" x14ac:dyDescent="0.3">
      <c r="A12" s="20">
        <v>11</v>
      </c>
      <c r="B12" t="s">
        <v>36</v>
      </c>
      <c r="C12" t="s">
        <v>17</v>
      </c>
      <c r="D12" t="s">
        <v>37</v>
      </c>
      <c r="E12" t="s">
        <v>38</v>
      </c>
      <c r="F12" t="s">
        <v>39</v>
      </c>
      <c r="G12" t="s">
        <v>23</v>
      </c>
      <c r="H12">
        <v>1992</v>
      </c>
      <c r="I12">
        <v>15240.4</v>
      </c>
      <c r="J12">
        <v>10857.5</v>
      </c>
      <c r="K12" s="1">
        <v>0.71240000000000003</v>
      </c>
      <c r="L12">
        <v>4397.5</v>
      </c>
      <c r="M12" s="1">
        <v>0.28849999999999998</v>
      </c>
      <c r="N12">
        <v>594.9</v>
      </c>
      <c r="O12" s="1">
        <v>3.9E-2</v>
      </c>
      <c r="P12">
        <v>14645.5</v>
      </c>
      <c r="Q12" s="1">
        <v>0.96099999999999997</v>
      </c>
      <c r="R1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2" s="2">
        <f>Tabela_base[[#This Row],[Total Streams (in millions)]]-(Tabela_base[[#This Row],[Lead Streams (in millions)]]+Tabela_base[[#This Row],[Feature Streams (in millions)]])</f>
        <v>-14.600000000000364</v>
      </c>
    </row>
    <row r="13" spans="1:21" x14ac:dyDescent="0.3">
      <c r="A13" s="20">
        <v>12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23</v>
      </c>
      <c r="H13">
        <v>2004</v>
      </c>
      <c r="I13">
        <v>12713.2</v>
      </c>
      <c r="J13">
        <v>12596.1</v>
      </c>
      <c r="K13" s="1">
        <v>0.99080000000000001</v>
      </c>
      <c r="L13">
        <v>124.8</v>
      </c>
      <c r="M13" s="1">
        <v>9.7999999999999997E-3</v>
      </c>
      <c r="N13">
        <v>1284.7</v>
      </c>
      <c r="O13" s="1">
        <v>0.1011</v>
      </c>
      <c r="P13">
        <v>11428.5</v>
      </c>
      <c r="Q13" s="1">
        <v>0.89890000000000003</v>
      </c>
      <c r="R1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3" s="2">
        <f>Tabela_base[[#This Row],[Total Streams (in millions)]]-(Tabela_base[[#This Row],[Lead Streams (in millions)]]+Tabela_base[[#This Row],[Feature Streams (in millions)]])</f>
        <v>-7.6999999999989086</v>
      </c>
    </row>
    <row r="14" spans="1:21" x14ac:dyDescent="0.3">
      <c r="A14" s="20">
        <v>13</v>
      </c>
      <c r="B14" t="s">
        <v>43</v>
      </c>
      <c r="C14" t="s">
        <v>44</v>
      </c>
      <c r="D14" t="s">
        <v>45</v>
      </c>
      <c r="E14" t="s">
        <v>19</v>
      </c>
      <c r="F14" t="s">
        <v>46</v>
      </c>
      <c r="G14" t="s">
        <v>21</v>
      </c>
      <c r="H14">
        <v>1972</v>
      </c>
      <c r="I14">
        <v>12992.2</v>
      </c>
      <c r="J14">
        <v>10479.5</v>
      </c>
      <c r="K14" s="1">
        <v>0.80659999999999998</v>
      </c>
      <c r="L14">
        <v>2516.3000000000002</v>
      </c>
      <c r="M14" s="1">
        <v>0.19370000000000001</v>
      </c>
      <c r="N14">
        <v>12992.2</v>
      </c>
      <c r="O14" s="1">
        <v>1</v>
      </c>
      <c r="P14">
        <v>0</v>
      </c>
      <c r="Q14" s="1">
        <v>0</v>
      </c>
      <c r="R1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4" s="2">
        <f>Tabela_base[[#This Row],[Total Streams (in millions)]]-(Tabela_base[[#This Row],[Lead Streams (in millions)]]+Tabela_base[[#This Row],[Feature Streams (in millions)]])</f>
        <v>-3.5999999999985448</v>
      </c>
    </row>
    <row r="15" spans="1:21" x14ac:dyDescent="0.3">
      <c r="A15" s="20">
        <v>14</v>
      </c>
      <c r="B15" t="s">
        <v>47</v>
      </c>
      <c r="C15" t="s">
        <v>17</v>
      </c>
      <c r="D15" t="s">
        <v>28</v>
      </c>
      <c r="E15" t="s">
        <v>19</v>
      </c>
      <c r="F15" t="s">
        <v>29</v>
      </c>
      <c r="G15" t="s">
        <v>21</v>
      </c>
      <c r="H15">
        <v>1975</v>
      </c>
      <c r="I15">
        <v>17010.5</v>
      </c>
      <c r="J15">
        <v>17018</v>
      </c>
      <c r="K15" s="1">
        <v>1.0004</v>
      </c>
      <c r="L15">
        <v>0</v>
      </c>
      <c r="M15" s="1">
        <v>0</v>
      </c>
      <c r="N15">
        <v>17010.5</v>
      </c>
      <c r="O15" s="1">
        <v>1</v>
      </c>
      <c r="P15">
        <v>0</v>
      </c>
      <c r="Q15" s="1">
        <v>0</v>
      </c>
      <c r="R1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15" s="2">
        <f>Tabela_base[[#This Row],[Total Streams (in millions)]]-(Tabela_base[[#This Row],[Lead Streams (in millions)]]+Tabela_base[[#This Row],[Feature Streams (in millions)]])</f>
        <v>-7.5</v>
      </c>
    </row>
    <row r="16" spans="1:21" x14ac:dyDescent="0.3">
      <c r="A16" s="20">
        <v>15</v>
      </c>
      <c r="B16" t="s">
        <v>48</v>
      </c>
      <c r="C16" t="s">
        <v>49</v>
      </c>
      <c r="D16" t="s">
        <v>25</v>
      </c>
      <c r="E16" t="s">
        <v>19</v>
      </c>
      <c r="F16" t="s">
        <v>46</v>
      </c>
      <c r="G16" t="s">
        <v>23</v>
      </c>
      <c r="H16">
        <v>2008</v>
      </c>
      <c r="I16">
        <v>28690.5</v>
      </c>
      <c r="J16">
        <v>28699.5</v>
      </c>
      <c r="K16" s="1">
        <v>1.0003</v>
      </c>
      <c r="L16">
        <v>0</v>
      </c>
      <c r="M16" s="1">
        <v>0</v>
      </c>
      <c r="N16">
        <v>28537.7</v>
      </c>
      <c r="O16" s="1">
        <v>0.99470000000000003</v>
      </c>
      <c r="P16">
        <v>152.80000000000001</v>
      </c>
      <c r="Q16" s="1">
        <v>5.3E-3</v>
      </c>
      <c r="R1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16" s="2">
        <f>Tabela_base[[#This Row],[Total Streams (in millions)]]-(Tabela_base[[#This Row],[Lead Streams (in millions)]]+Tabela_base[[#This Row],[Feature Streams (in millions)]])</f>
        <v>-9</v>
      </c>
    </row>
    <row r="17" spans="1:19" x14ac:dyDescent="0.3">
      <c r="A17" s="20">
        <v>16</v>
      </c>
      <c r="B17" t="s">
        <v>50</v>
      </c>
      <c r="C17" t="s">
        <v>44</v>
      </c>
      <c r="D17" t="s">
        <v>18</v>
      </c>
      <c r="E17" t="s">
        <v>19</v>
      </c>
      <c r="F17" t="s">
        <v>29</v>
      </c>
      <c r="G17" t="s">
        <v>21</v>
      </c>
      <c r="H17">
        <v>1973</v>
      </c>
      <c r="I17">
        <v>8200.1</v>
      </c>
      <c r="J17">
        <v>7224.1</v>
      </c>
      <c r="K17" s="1">
        <v>0.88100000000000001</v>
      </c>
      <c r="L17">
        <v>979.3</v>
      </c>
      <c r="M17" s="1">
        <v>0.11940000000000001</v>
      </c>
      <c r="N17">
        <v>7171.3</v>
      </c>
      <c r="O17" s="1">
        <v>0.87450000000000006</v>
      </c>
      <c r="P17">
        <v>1028.8</v>
      </c>
      <c r="Q17" s="1">
        <v>0.1255</v>
      </c>
      <c r="R1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7" s="2">
        <f>Tabela_base[[#This Row],[Total Streams (in millions)]]-(Tabela_base[[#This Row],[Lead Streams (in millions)]]+Tabela_base[[#This Row],[Feature Streams (in millions)]])</f>
        <v>-3.2999999999992724</v>
      </c>
    </row>
    <row r="18" spans="1:19" x14ac:dyDescent="0.3">
      <c r="A18" s="20">
        <v>17</v>
      </c>
      <c r="B18" t="s">
        <v>51</v>
      </c>
      <c r="C18" t="s">
        <v>17</v>
      </c>
      <c r="D18" t="s">
        <v>52</v>
      </c>
      <c r="E18" t="s">
        <v>19</v>
      </c>
      <c r="F18" t="s">
        <v>33</v>
      </c>
      <c r="G18" t="s">
        <v>23</v>
      </c>
      <c r="H18">
        <v>2004</v>
      </c>
      <c r="I18">
        <v>17056</v>
      </c>
      <c r="J18">
        <v>8007.4</v>
      </c>
      <c r="K18" s="1">
        <v>0.46949999999999997</v>
      </c>
      <c r="L18">
        <v>9059.5</v>
      </c>
      <c r="M18" s="1">
        <v>0.53120000000000001</v>
      </c>
      <c r="N18">
        <v>4403.1000000000004</v>
      </c>
      <c r="O18" s="1">
        <v>0.25819999999999999</v>
      </c>
      <c r="P18">
        <v>12652.9</v>
      </c>
      <c r="Q18" s="1">
        <v>0.74180000000000001</v>
      </c>
      <c r="R1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8" s="2">
        <f>Tabela_base[[#This Row],[Total Streams (in millions)]]-(Tabela_base[[#This Row],[Lead Streams (in millions)]]+Tabela_base[[#This Row],[Feature Streams (in millions)]])</f>
        <v>-10.900000000001455</v>
      </c>
    </row>
    <row r="19" spans="1:19" x14ac:dyDescent="0.3">
      <c r="A19" s="20">
        <v>18</v>
      </c>
      <c r="B19" t="s">
        <v>53</v>
      </c>
      <c r="C19" t="s">
        <v>17</v>
      </c>
      <c r="D19" t="s">
        <v>54</v>
      </c>
      <c r="E19" t="s">
        <v>19</v>
      </c>
      <c r="F19" t="s">
        <v>55</v>
      </c>
      <c r="G19" t="s">
        <v>23</v>
      </c>
      <c r="H19">
        <v>2014</v>
      </c>
      <c r="I19">
        <v>16893.400000000001</v>
      </c>
      <c r="J19">
        <v>13879.3</v>
      </c>
      <c r="K19" s="1">
        <v>0.8216</v>
      </c>
      <c r="L19">
        <v>3019.1</v>
      </c>
      <c r="M19" s="1">
        <v>0.1787</v>
      </c>
      <c r="N19">
        <v>5321.5</v>
      </c>
      <c r="O19" s="1">
        <v>0.315</v>
      </c>
      <c r="P19">
        <v>11571.9</v>
      </c>
      <c r="Q19" s="1">
        <v>0.68500000000000005</v>
      </c>
      <c r="R1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9" s="2">
        <f>Tabela_base[[#This Row],[Total Streams (in millions)]]-(Tabela_base[[#This Row],[Lead Streams (in millions)]]+Tabela_base[[#This Row],[Feature Streams (in millions)]])</f>
        <v>-4.999999999996362</v>
      </c>
    </row>
    <row r="20" spans="1:19" x14ac:dyDescent="0.3">
      <c r="A20" s="20">
        <v>19</v>
      </c>
      <c r="B20" t="s">
        <v>56</v>
      </c>
      <c r="C20" t="s">
        <v>17</v>
      </c>
      <c r="D20" t="s">
        <v>57</v>
      </c>
      <c r="E20" t="s">
        <v>41</v>
      </c>
      <c r="F20" t="s">
        <v>58</v>
      </c>
      <c r="G20" t="s">
        <v>23</v>
      </c>
      <c r="H20">
        <v>1992</v>
      </c>
      <c r="I20">
        <v>8617.1</v>
      </c>
      <c r="J20">
        <v>7717.5</v>
      </c>
      <c r="K20" s="1">
        <v>0.89559999999999995</v>
      </c>
      <c r="L20">
        <v>899.6</v>
      </c>
      <c r="M20" s="1">
        <v>0.10440000000000001</v>
      </c>
      <c r="N20">
        <v>6368.3</v>
      </c>
      <c r="O20" s="1">
        <v>0.73899999999999999</v>
      </c>
      <c r="P20">
        <v>2248.8000000000002</v>
      </c>
      <c r="Q20" s="1">
        <v>0.26100000000000001</v>
      </c>
      <c r="R2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0" s="2">
        <f>Tabela_base[[#This Row],[Total Streams (in millions)]]-(Tabela_base[[#This Row],[Lead Streams (in millions)]]+Tabela_base[[#This Row],[Feature Streams (in millions)]])</f>
        <v>0</v>
      </c>
    </row>
    <row r="21" spans="1:19" x14ac:dyDescent="0.3">
      <c r="A21" s="20">
        <v>20</v>
      </c>
      <c r="B21" t="s">
        <v>59</v>
      </c>
      <c r="C21" t="s">
        <v>17</v>
      </c>
      <c r="D21" t="s">
        <v>60</v>
      </c>
      <c r="E21" t="s">
        <v>41</v>
      </c>
      <c r="F21" t="s">
        <v>58</v>
      </c>
      <c r="G21" t="s">
        <v>23</v>
      </c>
      <c r="H21">
        <v>1989</v>
      </c>
      <c r="I21">
        <v>9340.1</v>
      </c>
      <c r="J21">
        <v>6691.7</v>
      </c>
      <c r="K21" s="1">
        <v>0.71640000000000004</v>
      </c>
      <c r="L21">
        <v>2658.2</v>
      </c>
      <c r="M21" s="1">
        <v>0.28460000000000002</v>
      </c>
      <c r="N21">
        <v>5230.2</v>
      </c>
      <c r="O21" s="1">
        <v>0.56000000000000005</v>
      </c>
      <c r="P21">
        <v>4109.8999999999996</v>
      </c>
      <c r="Q21" s="1">
        <v>0.44</v>
      </c>
      <c r="R2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1" s="2">
        <f>Tabela_base[[#This Row],[Total Streams (in millions)]]-(Tabela_base[[#This Row],[Lead Streams (in millions)]]+Tabela_base[[#This Row],[Feature Streams (in millions)]])</f>
        <v>-9.7999999999992724</v>
      </c>
    </row>
    <row r="22" spans="1:19" x14ac:dyDescent="0.3">
      <c r="A22" s="20">
        <v>21</v>
      </c>
      <c r="B22" t="s">
        <v>61</v>
      </c>
      <c r="C22" t="s">
        <v>49</v>
      </c>
      <c r="D22" t="s">
        <v>62</v>
      </c>
      <c r="E22" t="s">
        <v>19</v>
      </c>
      <c r="F22" t="s">
        <v>46</v>
      </c>
      <c r="G22" t="s">
        <v>23</v>
      </c>
      <c r="H22">
        <v>2015</v>
      </c>
      <c r="I22">
        <v>10179.299999999999</v>
      </c>
      <c r="J22">
        <v>6431.1</v>
      </c>
      <c r="K22" s="1">
        <v>0.63180000000000003</v>
      </c>
      <c r="L22">
        <v>3750.4</v>
      </c>
      <c r="M22" s="1">
        <v>0.36840000000000001</v>
      </c>
      <c r="N22">
        <v>5420.2</v>
      </c>
      <c r="O22" s="1">
        <v>0.53249999999999997</v>
      </c>
      <c r="P22">
        <v>4759.1000000000004</v>
      </c>
      <c r="Q22" s="1">
        <v>0.46750000000000003</v>
      </c>
      <c r="R2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2" s="2">
        <f>Tabela_base[[#This Row],[Total Streams (in millions)]]-(Tabela_base[[#This Row],[Lead Streams (in millions)]]+Tabela_base[[#This Row],[Feature Streams (in millions)]])</f>
        <v>-2.2000000000007276</v>
      </c>
    </row>
    <row r="23" spans="1:19" x14ac:dyDescent="0.3">
      <c r="A23" s="20">
        <v>22</v>
      </c>
      <c r="B23" t="s">
        <v>63</v>
      </c>
      <c r="C23" t="s">
        <v>17</v>
      </c>
      <c r="D23" t="s">
        <v>45</v>
      </c>
      <c r="E23" t="s">
        <v>19</v>
      </c>
      <c r="F23" t="s">
        <v>55</v>
      </c>
      <c r="G23" t="s">
        <v>23</v>
      </c>
      <c r="H23">
        <v>2010</v>
      </c>
      <c r="I23">
        <v>7765.7</v>
      </c>
      <c r="J23">
        <v>4434.2</v>
      </c>
      <c r="K23" s="1">
        <v>0.57099999999999995</v>
      </c>
      <c r="L23">
        <v>3331.5</v>
      </c>
      <c r="M23" s="1">
        <v>0.42899999999999999</v>
      </c>
      <c r="N23">
        <v>781.1</v>
      </c>
      <c r="O23" s="1">
        <v>0.10059999999999999</v>
      </c>
      <c r="P23">
        <v>6984.6</v>
      </c>
      <c r="Q23" s="1">
        <v>0.89939999999999998</v>
      </c>
      <c r="R2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3" s="2">
        <f>Tabela_base[[#This Row],[Total Streams (in millions)]]-(Tabela_base[[#This Row],[Lead Streams (in millions)]]+Tabela_base[[#This Row],[Feature Streams (in millions)]])</f>
        <v>0</v>
      </c>
    </row>
    <row r="24" spans="1:19" x14ac:dyDescent="0.3">
      <c r="A24" s="20">
        <v>23</v>
      </c>
      <c r="B24" t="s">
        <v>64</v>
      </c>
      <c r="C24" t="s">
        <v>17</v>
      </c>
      <c r="D24" t="s">
        <v>57</v>
      </c>
      <c r="E24" t="s">
        <v>41</v>
      </c>
      <c r="F24" t="s">
        <v>65</v>
      </c>
      <c r="G24" t="s">
        <v>23</v>
      </c>
      <c r="H24">
        <v>2011</v>
      </c>
      <c r="I24">
        <v>8916</v>
      </c>
      <c r="J24">
        <v>8080</v>
      </c>
      <c r="K24" s="1">
        <v>0.90620000000000001</v>
      </c>
      <c r="L24">
        <v>844.9</v>
      </c>
      <c r="M24" s="1">
        <v>9.4799999999999995E-2</v>
      </c>
      <c r="N24">
        <v>7975.8</v>
      </c>
      <c r="O24" s="1">
        <v>0.89449999999999996</v>
      </c>
      <c r="P24">
        <v>940.2</v>
      </c>
      <c r="Q24" s="1">
        <v>0.1055</v>
      </c>
      <c r="R2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4" s="2">
        <f>Tabela_base[[#This Row],[Total Streams (in millions)]]-(Tabela_base[[#This Row],[Lead Streams (in millions)]]+Tabela_base[[#This Row],[Feature Streams (in millions)]])</f>
        <v>-8.8999999999996362</v>
      </c>
    </row>
    <row r="25" spans="1:19" x14ac:dyDescent="0.3">
      <c r="A25" s="20">
        <v>24</v>
      </c>
      <c r="B25" t="s">
        <v>66</v>
      </c>
      <c r="C25" t="s">
        <v>49</v>
      </c>
      <c r="D25" t="s">
        <v>18</v>
      </c>
      <c r="E25" t="s">
        <v>19</v>
      </c>
      <c r="F25" t="s">
        <v>33</v>
      </c>
      <c r="G25" t="s">
        <v>23</v>
      </c>
      <c r="H25">
        <v>2001</v>
      </c>
      <c r="I25">
        <v>12099.6</v>
      </c>
      <c r="J25">
        <v>8350.5</v>
      </c>
      <c r="K25" s="1">
        <v>0.69010000000000005</v>
      </c>
      <c r="L25">
        <v>3754.7</v>
      </c>
      <c r="M25" s="1">
        <v>0.31030000000000002</v>
      </c>
      <c r="N25">
        <v>7341.3</v>
      </c>
      <c r="O25" s="1">
        <v>0.60670000000000002</v>
      </c>
      <c r="P25">
        <v>4758.3</v>
      </c>
      <c r="Q25" s="1">
        <v>0.39329999999999998</v>
      </c>
      <c r="R2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5" s="2">
        <f>Tabela_base[[#This Row],[Total Streams (in millions)]]-(Tabela_base[[#This Row],[Lead Streams (in millions)]]+Tabela_base[[#This Row],[Feature Streams (in millions)]])</f>
        <v>-5.6000000000003638</v>
      </c>
    </row>
    <row r="26" spans="1:19" x14ac:dyDescent="0.3">
      <c r="A26" s="20">
        <v>25</v>
      </c>
      <c r="B26" t="s">
        <v>67</v>
      </c>
      <c r="C26" t="s">
        <v>49</v>
      </c>
      <c r="D26" t="s">
        <v>37</v>
      </c>
      <c r="E26" t="s">
        <v>68</v>
      </c>
      <c r="F26" t="s">
        <v>39</v>
      </c>
      <c r="G26" t="s">
        <v>23</v>
      </c>
      <c r="H26">
        <v>1980</v>
      </c>
      <c r="I26">
        <v>8988.2000000000007</v>
      </c>
      <c r="J26">
        <v>2897.2</v>
      </c>
      <c r="K26" s="1">
        <v>0.32229999999999998</v>
      </c>
      <c r="L26">
        <v>6102.8</v>
      </c>
      <c r="M26" s="1">
        <v>0.67900000000000005</v>
      </c>
      <c r="N26">
        <v>551.1</v>
      </c>
      <c r="O26" s="1">
        <v>6.13E-2</v>
      </c>
      <c r="P26">
        <v>8437.1</v>
      </c>
      <c r="Q26" s="1">
        <v>0.93869999999999998</v>
      </c>
      <c r="R2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6" s="2">
        <f>Tabela_base[[#This Row],[Total Streams (in millions)]]-(Tabela_base[[#This Row],[Lead Streams (in millions)]]+Tabela_base[[#This Row],[Feature Streams (in millions)]])</f>
        <v>-11.799999999999272</v>
      </c>
    </row>
    <row r="27" spans="1:19" x14ac:dyDescent="0.3">
      <c r="A27" s="20">
        <v>26</v>
      </c>
      <c r="B27" t="s">
        <v>69</v>
      </c>
      <c r="C27" t="s">
        <v>17</v>
      </c>
      <c r="D27" t="s">
        <v>70</v>
      </c>
      <c r="E27" t="s">
        <v>71</v>
      </c>
      <c r="F27" t="s">
        <v>55</v>
      </c>
      <c r="G27" t="s">
        <v>23</v>
      </c>
      <c r="H27">
        <v>2004</v>
      </c>
      <c r="I27">
        <v>10115.700000000001</v>
      </c>
      <c r="J27">
        <v>9351.5</v>
      </c>
      <c r="K27" s="1">
        <v>0.92449999999999999</v>
      </c>
      <c r="L27">
        <v>766.2</v>
      </c>
      <c r="M27" s="1">
        <v>7.5700000000000003E-2</v>
      </c>
      <c r="N27">
        <v>269.8</v>
      </c>
      <c r="O27" s="1">
        <v>2.6700000000000002E-2</v>
      </c>
      <c r="P27">
        <v>9845.9</v>
      </c>
      <c r="Q27" s="1">
        <v>0.97330000000000005</v>
      </c>
      <c r="R2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7" s="2">
        <f>Tabela_base[[#This Row],[Total Streams (in millions)]]-(Tabela_base[[#This Row],[Lead Streams (in millions)]]+Tabela_base[[#This Row],[Feature Streams (in millions)]])</f>
        <v>-2</v>
      </c>
    </row>
    <row r="28" spans="1:19" x14ac:dyDescent="0.3">
      <c r="A28" s="20">
        <v>27</v>
      </c>
      <c r="B28" t="s">
        <v>72</v>
      </c>
      <c r="C28" t="s">
        <v>17</v>
      </c>
      <c r="D28" t="s">
        <v>37</v>
      </c>
      <c r="E28" t="s">
        <v>68</v>
      </c>
      <c r="F28" t="s">
        <v>39</v>
      </c>
      <c r="G28" t="s">
        <v>23</v>
      </c>
      <c r="H28">
        <v>2008</v>
      </c>
      <c r="I28">
        <v>12136.7</v>
      </c>
      <c r="J28">
        <v>8.4</v>
      </c>
      <c r="K28" s="1">
        <v>6.9999999999999999E-4</v>
      </c>
      <c r="L28">
        <v>12135.9</v>
      </c>
      <c r="M28" s="1">
        <v>0.99990000000000001</v>
      </c>
      <c r="N28">
        <v>0</v>
      </c>
      <c r="O28" s="1">
        <v>0</v>
      </c>
      <c r="P28">
        <v>12136.7</v>
      </c>
      <c r="Q28" s="1">
        <v>1</v>
      </c>
      <c r="R2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8" s="2">
        <f>Tabela_base[[#This Row],[Total Streams (in millions)]]-(Tabela_base[[#This Row],[Lead Streams (in millions)]]+Tabela_base[[#This Row],[Feature Streams (in millions)]])</f>
        <v>-7.5999999999985448</v>
      </c>
    </row>
    <row r="29" spans="1:19" x14ac:dyDescent="0.3">
      <c r="A29" s="20">
        <v>28</v>
      </c>
      <c r="B29" t="s">
        <v>73</v>
      </c>
      <c r="C29" t="s">
        <v>49</v>
      </c>
      <c r="D29" t="s">
        <v>25</v>
      </c>
      <c r="E29" t="s">
        <v>19</v>
      </c>
      <c r="F29" t="s">
        <v>74</v>
      </c>
      <c r="G29" t="s">
        <v>23</v>
      </c>
      <c r="H29">
        <v>2003</v>
      </c>
      <c r="I29">
        <v>8780.4</v>
      </c>
      <c r="J29">
        <v>8238.2000000000007</v>
      </c>
      <c r="K29" s="1">
        <v>0.93820000000000003</v>
      </c>
      <c r="L29">
        <v>547.70000000000005</v>
      </c>
      <c r="M29" s="1">
        <v>6.2399999999999997E-2</v>
      </c>
      <c r="N29">
        <v>7557.9</v>
      </c>
      <c r="O29" s="1">
        <v>0.86080000000000001</v>
      </c>
      <c r="P29">
        <v>1222.5</v>
      </c>
      <c r="Q29" s="1">
        <v>0.13919999999999999</v>
      </c>
      <c r="R2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9" s="2">
        <f>Tabela_base[[#This Row],[Total Streams (in millions)]]-(Tabela_base[[#This Row],[Lead Streams (in millions)]]+Tabela_base[[#This Row],[Feature Streams (in millions)]])</f>
        <v>-5.500000000001819</v>
      </c>
    </row>
    <row r="30" spans="1:19" x14ac:dyDescent="0.3">
      <c r="A30" s="20">
        <v>29</v>
      </c>
      <c r="B30" t="s">
        <v>75</v>
      </c>
      <c r="C30" t="s">
        <v>49</v>
      </c>
      <c r="D30" t="s">
        <v>70</v>
      </c>
      <c r="E30" t="s">
        <v>71</v>
      </c>
      <c r="F30" t="s">
        <v>76</v>
      </c>
      <c r="G30" t="s">
        <v>23</v>
      </c>
      <c r="H30">
        <v>2021</v>
      </c>
      <c r="I30">
        <v>7467.3</v>
      </c>
      <c r="J30">
        <v>7464.6</v>
      </c>
      <c r="K30" s="1">
        <v>0.99960000000000004</v>
      </c>
      <c r="L30">
        <v>26</v>
      </c>
      <c r="M30" s="1">
        <v>3.5000000000000001E-3</v>
      </c>
      <c r="N30">
        <v>1330.8</v>
      </c>
      <c r="O30" s="1">
        <v>0.1782</v>
      </c>
      <c r="P30">
        <v>6136.5</v>
      </c>
      <c r="Q30" s="1">
        <v>0.82179999999999997</v>
      </c>
      <c r="R3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0" s="2">
        <f>Tabela_base[[#This Row],[Total Streams (in millions)]]-(Tabela_base[[#This Row],[Lead Streams (in millions)]]+Tabela_base[[#This Row],[Feature Streams (in millions)]])</f>
        <v>-23.300000000000182</v>
      </c>
    </row>
    <row r="31" spans="1:19" x14ac:dyDescent="0.3">
      <c r="A31" s="20">
        <v>30</v>
      </c>
      <c r="B31" t="s">
        <v>77</v>
      </c>
      <c r="C31" t="s">
        <v>17</v>
      </c>
      <c r="D31" t="s">
        <v>18</v>
      </c>
      <c r="E31" t="s">
        <v>19</v>
      </c>
      <c r="F31" t="s">
        <v>33</v>
      </c>
      <c r="G31" t="s">
        <v>23</v>
      </c>
      <c r="H31">
        <v>2014</v>
      </c>
      <c r="I31">
        <v>9513.7000000000007</v>
      </c>
      <c r="J31">
        <v>9454.2999999999993</v>
      </c>
      <c r="K31" s="1">
        <v>0.99380000000000002</v>
      </c>
      <c r="L31">
        <v>63.4</v>
      </c>
      <c r="M31" s="1">
        <v>6.7000000000000002E-3</v>
      </c>
      <c r="N31">
        <v>1289.2</v>
      </c>
      <c r="O31" s="1">
        <v>0.13550000000000001</v>
      </c>
      <c r="P31">
        <v>8224.5</v>
      </c>
      <c r="Q31" s="1">
        <v>0.86450000000000005</v>
      </c>
      <c r="R3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1" s="2">
        <f>Tabela_base[[#This Row],[Total Streams (in millions)]]-(Tabela_base[[#This Row],[Lead Streams (in millions)]]+Tabela_base[[#This Row],[Feature Streams (in millions)]])</f>
        <v>-3.999999999998181</v>
      </c>
    </row>
    <row r="32" spans="1:19" x14ac:dyDescent="0.3">
      <c r="A32" s="20">
        <v>31</v>
      </c>
      <c r="B32" t="s">
        <v>78</v>
      </c>
      <c r="C32" t="s">
        <v>17</v>
      </c>
      <c r="D32" t="s">
        <v>37</v>
      </c>
      <c r="E32" t="s">
        <v>38</v>
      </c>
      <c r="F32" t="s">
        <v>39</v>
      </c>
      <c r="G32" t="s">
        <v>23</v>
      </c>
      <c r="H32">
        <v>2012</v>
      </c>
      <c r="I32">
        <v>14897.8</v>
      </c>
      <c r="J32">
        <v>12456.5</v>
      </c>
      <c r="K32" s="1">
        <v>0.83609999999999995</v>
      </c>
      <c r="L32">
        <v>2450</v>
      </c>
      <c r="M32" s="1">
        <v>0.16450000000000001</v>
      </c>
      <c r="N32">
        <v>1543.3</v>
      </c>
      <c r="O32" s="1">
        <v>0.1036</v>
      </c>
      <c r="P32">
        <v>13354.5</v>
      </c>
      <c r="Q32" s="1">
        <v>0.89639999999999997</v>
      </c>
      <c r="R3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2" s="2">
        <f>Tabela_base[[#This Row],[Total Streams (in millions)]]-(Tabela_base[[#This Row],[Lead Streams (in millions)]]+Tabela_base[[#This Row],[Feature Streams (in millions)]])</f>
        <v>-8.7000000000007276</v>
      </c>
    </row>
    <row r="33" spans="1:19" x14ac:dyDescent="0.3">
      <c r="A33" s="20">
        <v>32</v>
      </c>
      <c r="B33" t="s">
        <v>79</v>
      </c>
      <c r="C33" t="s">
        <v>49</v>
      </c>
      <c r="D33" t="s">
        <v>70</v>
      </c>
      <c r="E33" t="s">
        <v>71</v>
      </c>
      <c r="F33" t="s">
        <v>46</v>
      </c>
      <c r="G33" t="s">
        <v>23</v>
      </c>
      <c r="H33">
        <v>2012</v>
      </c>
      <c r="I33">
        <v>15525.6</v>
      </c>
      <c r="J33">
        <v>11131.7</v>
      </c>
      <c r="K33" s="1">
        <v>0.71699999999999997</v>
      </c>
      <c r="L33">
        <v>4374.8</v>
      </c>
      <c r="M33" s="1">
        <v>0.28179999999999999</v>
      </c>
      <c r="N33">
        <v>3212</v>
      </c>
      <c r="O33" s="1">
        <v>0.2069</v>
      </c>
      <c r="P33">
        <v>12313.6</v>
      </c>
      <c r="Q33" s="1">
        <v>0.79310000000000003</v>
      </c>
      <c r="R3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3" s="2">
        <f>Tabela_base[[#This Row],[Total Streams (in millions)]]-(Tabela_base[[#This Row],[Lead Streams (in millions)]]+Tabela_base[[#This Row],[Feature Streams (in millions)]])</f>
        <v>19.100000000000364</v>
      </c>
    </row>
    <row r="34" spans="1:19" x14ac:dyDescent="0.3">
      <c r="A34" s="20">
        <v>33</v>
      </c>
      <c r="B34" t="s">
        <v>80</v>
      </c>
      <c r="C34" t="s">
        <v>49</v>
      </c>
      <c r="D34" t="s">
        <v>25</v>
      </c>
      <c r="E34" t="s">
        <v>19</v>
      </c>
      <c r="F34" t="s">
        <v>46</v>
      </c>
      <c r="G34" t="s">
        <v>23</v>
      </c>
      <c r="H34">
        <v>2013</v>
      </c>
      <c r="I34">
        <v>12593</v>
      </c>
      <c r="J34">
        <v>12542.7</v>
      </c>
      <c r="K34" s="1">
        <v>0.996</v>
      </c>
      <c r="L34">
        <v>29.5</v>
      </c>
      <c r="M34" s="1">
        <v>2.3E-3</v>
      </c>
      <c r="N34">
        <v>3706.6</v>
      </c>
      <c r="O34" s="1">
        <v>0.29430000000000001</v>
      </c>
      <c r="P34">
        <v>8886.4</v>
      </c>
      <c r="Q34" s="1">
        <v>0.70569999999999999</v>
      </c>
      <c r="R3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4" s="2">
        <f>Tabela_base[[#This Row],[Total Streams (in millions)]]-(Tabela_base[[#This Row],[Lead Streams (in millions)]]+Tabela_base[[#This Row],[Feature Streams (in millions)]])</f>
        <v>20.799999999999272</v>
      </c>
    </row>
    <row r="35" spans="1:19" x14ac:dyDescent="0.3">
      <c r="A35" s="20">
        <v>34</v>
      </c>
      <c r="B35" t="s">
        <v>81</v>
      </c>
      <c r="C35" t="s">
        <v>17</v>
      </c>
      <c r="D35" t="s">
        <v>18</v>
      </c>
      <c r="E35" t="s">
        <v>41</v>
      </c>
      <c r="F35" t="s">
        <v>42</v>
      </c>
      <c r="G35" t="s">
        <v>23</v>
      </c>
      <c r="H35">
        <v>2011</v>
      </c>
      <c r="I35">
        <v>40453.300000000003</v>
      </c>
      <c r="J35">
        <v>18355.599999999999</v>
      </c>
      <c r="K35" s="1">
        <v>0.45369999999999999</v>
      </c>
      <c r="L35">
        <v>22118.9</v>
      </c>
      <c r="M35" s="1">
        <v>0.54679999999999995</v>
      </c>
      <c r="N35">
        <v>6177</v>
      </c>
      <c r="O35" s="1">
        <v>0.1527</v>
      </c>
      <c r="P35">
        <v>34276.300000000003</v>
      </c>
      <c r="Q35" s="1">
        <v>0.84730000000000005</v>
      </c>
      <c r="R3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5" s="2">
        <f>Tabela_base[[#This Row],[Total Streams (in millions)]]-(Tabela_base[[#This Row],[Lead Streams (in millions)]]+Tabela_base[[#This Row],[Feature Streams (in millions)]])</f>
        <v>-21.19999999999709</v>
      </c>
    </row>
    <row r="36" spans="1:19" x14ac:dyDescent="0.3">
      <c r="A36" s="20">
        <v>35</v>
      </c>
      <c r="B36" t="s">
        <v>82</v>
      </c>
      <c r="C36" t="s">
        <v>17</v>
      </c>
      <c r="D36" t="s">
        <v>18</v>
      </c>
      <c r="E36" t="s">
        <v>41</v>
      </c>
      <c r="F36" t="s">
        <v>42</v>
      </c>
      <c r="G36" t="s">
        <v>23</v>
      </c>
      <c r="H36">
        <v>2004</v>
      </c>
      <c r="I36">
        <v>21937.3</v>
      </c>
      <c r="J36">
        <v>8927.4</v>
      </c>
      <c r="K36" s="1">
        <v>0.40699999999999997</v>
      </c>
      <c r="L36">
        <v>13023.3</v>
      </c>
      <c r="M36" s="1">
        <v>0.59370000000000001</v>
      </c>
      <c r="N36">
        <v>3007</v>
      </c>
      <c r="O36" s="1">
        <v>0.1371</v>
      </c>
      <c r="P36">
        <v>18930.3</v>
      </c>
      <c r="Q36" s="1">
        <v>0.8629</v>
      </c>
      <c r="R3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6" s="2">
        <f>Tabela_base[[#This Row],[Total Streams (in millions)]]-(Tabela_base[[#This Row],[Lead Streams (in millions)]]+Tabela_base[[#This Row],[Feature Streams (in millions)]])</f>
        <v>-13.399999999997817</v>
      </c>
    </row>
    <row r="37" spans="1:19" x14ac:dyDescent="0.3">
      <c r="A37" s="20">
        <v>36</v>
      </c>
      <c r="B37" t="s">
        <v>83</v>
      </c>
      <c r="C37" t="s">
        <v>17</v>
      </c>
      <c r="D37" t="s">
        <v>25</v>
      </c>
      <c r="E37" t="s">
        <v>19</v>
      </c>
      <c r="F37" t="s">
        <v>29</v>
      </c>
      <c r="G37" t="s">
        <v>21</v>
      </c>
      <c r="H37">
        <v>2005</v>
      </c>
      <c r="I37">
        <v>28155.4</v>
      </c>
      <c r="J37">
        <v>28166.2</v>
      </c>
      <c r="K37" s="1">
        <v>1.0004</v>
      </c>
      <c r="L37">
        <v>0</v>
      </c>
      <c r="M37" s="1">
        <v>0</v>
      </c>
      <c r="N37">
        <v>28130.400000000001</v>
      </c>
      <c r="O37" s="1">
        <v>0.99909999999999999</v>
      </c>
      <c r="P37">
        <v>25</v>
      </c>
      <c r="Q37" s="1">
        <v>8.9999999999999998E-4</v>
      </c>
      <c r="R3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37" s="2">
        <f>Tabela_base[[#This Row],[Total Streams (in millions)]]-(Tabela_base[[#This Row],[Lead Streams (in millions)]]+Tabela_base[[#This Row],[Feature Streams (in millions)]])</f>
        <v>-10.799999999999272</v>
      </c>
    </row>
    <row r="38" spans="1:19" x14ac:dyDescent="0.3">
      <c r="A38" s="20">
        <v>37</v>
      </c>
      <c r="B38" t="s">
        <v>84</v>
      </c>
      <c r="C38" t="s">
        <v>49</v>
      </c>
      <c r="D38" t="s">
        <v>18</v>
      </c>
      <c r="E38" t="s">
        <v>19</v>
      </c>
      <c r="F38" t="s">
        <v>46</v>
      </c>
      <c r="G38" t="s">
        <v>23</v>
      </c>
      <c r="H38">
        <v>2013</v>
      </c>
      <c r="I38">
        <v>68298.899999999994</v>
      </c>
      <c r="J38">
        <v>57097.5</v>
      </c>
      <c r="K38" s="1">
        <v>0.83599999999999997</v>
      </c>
      <c r="L38">
        <v>11201.4</v>
      </c>
      <c r="M38" s="1">
        <v>0.16400000000000001</v>
      </c>
      <c r="N38">
        <v>41615.5</v>
      </c>
      <c r="O38" s="1">
        <v>0.60929999999999995</v>
      </c>
      <c r="P38">
        <v>26683.4</v>
      </c>
      <c r="Q38" s="1">
        <v>0.39069999999999999</v>
      </c>
      <c r="R3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8" s="2">
        <f>Tabela_base[[#This Row],[Total Streams (in millions)]]-(Tabela_base[[#This Row],[Lead Streams (in millions)]]+Tabela_base[[#This Row],[Feature Streams (in millions)]])</f>
        <v>0</v>
      </c>
    </row>
    <row r="39" spans="1:19" x14ac:dyDescent="0.3">
      <c r="A39" s="20">
        <v>38</v>
      </c>
      <c r="B39" t="s">
        <v>85</v>
      </c>
      <c r="C39" t="s">
        <v>17</v>
      </c>
      <c r="D39" t="s">
        <v>37</v>
      </c>
      <c r="E39" t="s">
        <v>68</v>
      </c>
      <c r="F39" t="s">
        <v>39</v>
      </c>
      <c r="G39" t="s">
        <v>23</v>
      </c>
      <c r="H39">
        <v>2011</v>
      </c>
      <c r="I39">
        <v>37687.800000000003</v>
      </c>
      <c r="J39">
        <v>13330.4</v>
      </c>
      <c r="K39" s="1">
        <v>0.35370000000000001</v>
      </c>
      <c r="L39">
        <v>24384.799999999999</v>
      </c>
      <c r="M39" s="1">
        <v>0.64700000000000002</v>
      </c>
      <c r="N39">
        <v>4537.3999999999996</v>
      </c>
      <c r="O39" s="1">
        <v>0.12039999999999999</v>
      </c>
      <c r="P39">
        <v>33150.400000000001</v>
      </c>
      <c r="Q39" s="1">
        <v>0.87960000000000005</v>
      </c>
      <c r="R3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9" s="2">
        <f>Tabela_base[[#This Row],[Total Streams (in millions)]]-(Tabela_base[[#This Row],[Lead Streams (in millions)]]+Tabela_base[[#This Row],[Feature Streams (in millions)]])</f>
        <v>-27.399999999994179</v>
      </c>
    </row>
    <row r="40" spans="1:19" x14ac:dyDescent="0.3">
      <c r="A40" s="20">
        <v>39</v>
      </c>
      <c r="B40" t="s">
        <v>86</v>
      </c>
      <c r="C40" t="s">
        <v>17</v>
      </c>
      <c r="D40" t="s">
        <v>87</v>
      </c>
      <c r="E40" t="s">
        <v>88</v>
      </c>
      <c r="F40" t="s">
        <v>46</v>
      </c>
      <c r="G40" t="s">
        <v>23</v>
      </c>
      <c r="H40">
        <v>2002</v>
      </c>
      <c r="I40">
        <v>7934.5</v>
      </c>
      <c r="J40">
        <v>2022.8</v>
      </c>
      <c r="K40" s="1">
        <v>0.25490000000000002</v>
      </c>
      <c r="L40">
        <v>5906</v>
      </c>
      <c r="M40" s="1">
        <v>0.74429999999999996</v>
      </c>
      <c r="N40">
        <v>723</v>
      </c>
      <c r="O40" s="1">
        <v>9.11E-2</v>
      </c>
      <c r="P40">
        <v>7211.5</v>
      </c>
      <c r="Q40" s="1">
        <v>0.90890000000000004</v>
      </c>
      <c r="R4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0" s="2">
        <f>Tabela_base[[#This Row],[Total Streams (in millions)]]-(Tabela_base[[#This Row],[Lead Streams (in millions)]]+Tabela_base[[#This Row],[Feature Streams (in millions)]])</f>
        <v>5.6999999999998181</v>
      </c>
    </row>
    <row r="41" spans="1:19" x14ac:dyDescent="0.3">
      <c r="A41" s="20">
        <v>40</v>
      </c>
      <c r="B41" t="s">
        <v>89</v>
      </c>
      <c r="C41" t="s">
        <v>49</v>
      </c>
      <c r="D41" t="s">
        <v>18</v>
      </c>
      <c r="E41" t="s">
        <v>19</v>
      </c>
      <c r="F41" t="s">
        <v>46</v>
      </c>
      <c r="G41" t="s">
        <v>23</v>
      </c>
      <c r="H41">
        <v>2008</v>
      </c>
      <c r="I41">
        <v>12700.7</v>
      </c>
      <c r="J41">
        <v>8281.2000000000007</v>
      </c>
      <c r="K41" s="1">
        <v>0.65200000000000002</v>
      </c>
      <c r="L41">
        <v>4423.1000000000004</v>
      </c>
      <c r="M41" s="1">
        <v>0.3483</v>
      </c>
      <c r="N41">
        <v>7763.9</v>
      </c>
      <c r="O41" s="1">
        <v>0.61129999999999995</v>
      </c>
      <c r="P41">
        <v>4936.8</v>
      </c>
      <c r="Q41" s="1">
        <v>0.38869999999999999</v>
      </c>
      <c r="R4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1" s="2">
        <f>Tabela_base[[#This Row],[Total Streams (in millions)]]-(Tabela_base[[#This Row],[Lead Streams (in millions)]]+Tabela_base[[#This Row],[Feature Streams (in millions)]])</f>
        <v>-3.6000000000003638</v>
      </c>
    </row>
    <row r="42" spans="1:19" x14ac:dyDescent="0.3">
      <c r="A42" s="20">
        <v>41</v>
      </c>
      <c r="B42" t="s">
        <v>90</v>
      </c>
      <c r="C42" t="s">
        <v>17</v>
      </c>
      <c r="D42" t="s">
        <v>18</v>
      </c>
      <c r="E42" t="s">
        <v>19</v>
      </c>
      <c r="F42" t="s">
        <v>91</v>
      </c>
      <c r="G42" t="s">
        <v>21</v>
      </c>
      <c r="H42">
        <v>2001</v>
      </c>
      <c r="I42">
        <v>7871.9</v>
      </c>
      <c r="J42">
        <v>7152</v>
      </c>
      <c r="K42" s="1">
        <v>0.90849999999999997</v>
      </c>
      <c r="L42">
        <v>706.6</v>
      </c>
      <c r="M42" s="1">
        <v>8.9800000000000005E-2</v>
      </c>
      <c r="N42">
        <v>7858.1</v>
      </c>
      <c r="O42" s="1">
        <v>0.99819999999999998</v>
      </c>
      <c r="P42">
        <v>13.8</v>
      </c>
      <c r="Q42" s="1">
        <v>1.8E-3</v>
      </c>
      <c r="R4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2" s="2">
        <f>Tabela_base[[#This Row],[Total Streams (in millions)]]-(Tabela_base[[#This Row],[Lead Streams (in millions)]]+Tabela_base[[#This Row],[Feature Streams (in millions)]])</f>
        <v>13.299999999999272</v>
      </c>
    </row>
    <row r="43" spans="1:19" x14ac:dyDescent="0.3">
      <c r="A43" s="20">
        <v>42</v>
      </c>
      <c r="B43" t="s">
        <v>92</v>
      </c>
      <c r="C43" t="s">
        <v>17</v>
      </c>
      <c r="D43" t="s">
        <v>18</v>
      </c>
      <c r="E43" t="s">
        <v>41</v>
      </c>
      <c r="F43" t="s">
        <v>93</v>
      </c>
      <c r="G43" t="s">
        <v>21</v>
      </c>
      <c r="H43">
        <v>1996</v>
      </c>
      <c r="I43">
        <v>10607</v>
      </c>
      <c r="J43">
        <v>10520.3</v>
      </c>
      <c r="K43" s="1">
        <v>0.99180000000000001</v>
      </c>
      <c r="L43">
        <v>92.7</v>
      </c>
      <c r="M43" s="1">
        <v>8.6999999999999994E-3</v>
      </c>
      <c r="N43">
        <v>8371.2999999999993</v>
      </c>
      <c r="O43" s="1">
        <v>0.78920000000000001</v>
      </c>
      <c r="P43">
        <v>2235.6999999999998</v>
      </c>
      <c r="Q43" s="1">
        <v>0.21079999999999999</v>
      </c>
      <c r="R4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3" s="2">
        <f>Tabela_base[[#This Row],[Total Streams (in millions)]]-(Tabela_base[[#This Row],[Lead Streams (in millions)]]+Tabela_base[[#This Row],[Feature Streams (in millions)]])</f>
        <v>-6</v>
      </c>
    </row>
    <row r="44" spans="1:19" x14ac:dyDescent="0.3">
      <c r="A44" s="20">
        <v>43</v>
      </c>
      <c r="B44" t="s">
        <v>94</v>
      </c>
      <c r="C44" t="s">
        <v>17</v>
      </c>
      <c r="D44" t="s">
        <v>45</v>
      </c>
      <c r="E44" t="s">
        <v>19</v>
      </c>
      <c r="F44" t="s">
        <v>55</v>
      </c>
      <c r="G44" t="s">
        <v>23</v>
      </c>
      <c r="H44">
        <v>2006</v>
      </c>
      <c r="I44">
        <v>21003.5</v>
      </c>
      <c r="J44">
        <v>20142.3</v>
      </c>
      <c r="K44" s="1">
        <v>0.95899999999999996</v>
      </c>
      <c r="L44">
        <v>867.4</v>
      </c>
      <c r="M44" s="1">
        <v>4.1300000000000003E-2</v>
      </c>
      <c r="N44">
        <v>14179.7</v>
      </c>
      <c r="O44" s="1">
        <v>0.67510000000000003</v>
      </c>
      <c r="P44">
        <v>6823.8</v>
      </c>
      <c r="Q44" s="1">
        <v>0.32490000000000002</v>
      </c>
      <c r="R4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4" s="2">
        <f>Tabela_base[[#This Row],[Total Streams (in millions)]]-(Tabela_base[[#This Row],[Lead Streams (in millions)]]+Tabela_base[[#This Row],[Feature Streams (in millions)]])</f>
        <v>-6.2000000000007276</v>
      </c>
    </row>
    <row r="45" spans="1:19" x14ac:dyDescent="0.3">
      <c r="A45" s="20">
        <v>44</v>
      </c>
      <c r="B45" t="s">
        <v>95</v>
      </c>
      <c r="C45" t="s">
        <v>49</v>
      </c>
      <c r="D45" t="s">
        <v>62</v>
      </c>
      <c r="E45" t="s">
        <v>19</v>
      </c>
      <c r="F45" t="s">
        <v>46</v>
      </c>
      <c r="G45" t="s">
        <v>23</v>
      </c>
      <c r="H45">
        <v>2002</v>
      </c>
      <c r="I45">
        <v>8706.4</v>
      </c>
      <c r="J45">
        <v>8477.2999999999993</v>
      </c>
      <c r="K45" s="1">
        <v>0.97370000000000001</v>
      </c>
      <c r="L45">
        <v>233</v>
      </c>
      <c r="M45" s="1">
        <v>2.6800000000000001E-2</v>
      </c>
      <c r="N45">
        <v>8083.8</v>
      </c>
      <c r="O45" s="1">
        <v>0.92849999999999999</v>
      </c>
      <c r="P45">
        <v>622.6</v>
      </c>
      <c r="Q45" s="1">
        <v>7.1499999999999994E-2</v>
      </c>
      <c r="R4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5" s="2">
        <f>Tabela_base[[#This Row],[Total Streams (in millions)]]-(Tabela_base[[#This Row],[Lead Streams (in millions)]]+Tabela_base[[#This Row],[Feature Streams (in millions)]])</f>
        <v>-3.8999999999996362</v>
      </c>
    </row>
    <row r="46" spans="1:19" x14ac:dyDescent="0.3">
      <c r="A46" s="20">
        <v>45</v>
      </c>
      <c r="B46" t="s">
        <v>96</v>
      </c>
      <c r="C46" t="s">
        <v>17</v>
      </c>
      <c r="D46" t="s">
        <v>18</v>
      </c>
      <c r="E46" t="s">
        <v>19</v>
      </c>
      <c r="F46" t="s">
        <v>20</v>
      </c>
      <c r="G46" t="s">
        <v>23</v>
      </c>
      <c r="H46">
        <v>2007</v>
      </c>
      <c r="I46">
        <v>7431.9</v>
      </c>
      <c r="J46">
        <v>6391.9</v>
      </c>
      <c r="K46" s="1">
        <v>0.86009999999999998</v>
      </c>
      <c r="L46">
        <v>1058.7</v>
      </c>
      <c r="M46" s="1">
        <v>0.14249999999999999</v>
      </c>
      <c r="N46">
        <v>528.20000000000005</v>
      </c>
      <c r="O46" s="1">
        <v>7.1099999999999997E-2</v>
      </c>
      <c r="P46">
        <v>6903.7</v>
      </c>
      <c r="Q46" s="1">
        <v>0.92889999999999995</v>
      </c>
      <c r="R4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6" s="2">
        <f>Tabela_base[[#This Row],[Total Streams (in millions)]]-(Tabela_base[[#This Row],[Lead Streams (in millions)]]+Tabela_base[[#This Row],[Feature Streams (in millions)]])</f>
        <v>-18.699999999999818</v>
      </c>
    </row>
    <row r="47" spans="1:19" x14ac:dyDescent="0.3">
      <c r="A47" s="20">
        <v>46</v>
      </c>
      <c r="B47" t="s">
        <v>97</v>
      </c>
      <c r="C47" t="s">
        <v>44</v>
      </c>
      <c r="D47" t="s">
        <v>18</v>
      </c>
      <c r="E47" t="s">
        <v>19</v>
      </c>
      <c r="F47" t="s">
        <v>46</v>
      </c>
      <c r="G47" t="s">
        <v>21</v>
      </c>
      <c r="H47">
        <v>1996</v>
      </c>
      <c r="I47">
        <v>8485.9</v>
      </c>
      <c r="J47">
        <v>8144</v>
      </c>
      <c r="K47" s="1">
        <v>0.9597</v>
      </c>
      <c r="L47">
        <v>346</v>
      </c>
      <c r="M47" s="1">
        <v>4.0800000000000003E-2</v>
      </c>
      <c r="N47">
        <v>8125.7</v>
      </c>
      <c r="O47" s="1">
        <v>0.95760000000000001</v>
      </c>
      <c r="P47">
        <v>360.2</v>
      </c>
      <c r="Q47" s="1">
        <v>4.24E-2</v>
      </c>
      <c r="R4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7" s="2">
        <f>Tabela_base[[#This Row],[Total Streams (in millions)]]-(Tabela_base[[#This Row],[Lead Streams (in millions)]]+Tabela_base[[#This Row],[Feature Streams (in millions)]])</f>
        <v>-4.1000000000003638</v>
      </c>
    </row>
    <row r="48" spans="1:19" x14ac:dyDescent="0.3">
      <c r="A48" s="20">
        <v>47</v>
      </c>
      <c r="B48" t="s">
        <v>98</v>
      </c>
      <c r="C48" t="s">
        <v>17</v>
      </c>
      <c r="D48" t="s">
        <v>18</v>
      </c>
      <c r="E48" t="s">
        <v>41</v>
      </c>
      <c r="F48" t="s">
        <v>42</v>
      </c>
      <c r="G48" t="s">
        <v>23</v>
      </c>
      <c r="H48">
        <v>2013</v>
      </c>
      <c r="I48">
        <v>125899.8</v>
      </c>
      <c r="J48">
        <v>82189.3</v>
      </c>
      <c r="K48" s="1">
        <v>0.65280000000000005</v>
      </c>
      <c r="L48">
        <v>43710.5</v>
      </c>
      <c r="M48" s="1">
        <v>0.34720000000000001</v>
      </c>
      <c r="N48">
        <v>48887</v>
      </c>
      <c r="O48" s="1">
        <v>0.38829999999999998</v>
      </c>
      <c r="P48">
        <v>77012.800000000003</v>
      </c>
      <c r="Q48" s="1">
        <v>0.61170000000000002</v>
      </c>
      <c r="R4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8" s="2">
        <f>Tabela_base[[#This Row],[Total Streams (in millions)]]-(Tabela_base[[#This Row],[Lead Streams (in millions)]]+Tabela_base[[#This Row],[Feature Streams (in millions)]])</f>
        <v>0</v>
      </c>
    </row>
    <row r="49" spans="1:19" x14ac:dyDescent="0.3">
      <c r="A49" s="20">
        <v>48</v>
      </c>
      <c r="B49" t="s">
        <v>99</v>
      </c>
      <c r="C49" t="s">
        <v>17</v>
      </c>
      <c r="D49" t="s">
        <v>57</v>
      </c>
      <c r="E49" t="s">
        <v>41</v>
      </c>
      <c r="F49" t="s">
        <v>65</v>
      </c>
      <c r="G49" t="s">
        <v>21</v>
      </c>
      <c r="H49">
        <v>2003</v>
      </c>
      <c r="I49">
        <v>13433.6</v>
      </c>
      <c r="J49">
        <v>12366.7</v>
      </c>
      <c r="K49" s="1">
        <v>0.92059999999999997</v>
      </c>
      <c r="L49">
        <v>1072.9000000000001</v>
      </c>
      <c r="M49" s="1">
        <v>7.9899999999999999E-2</v>
      </c>
      <c r="N49">
        <v>11154.7</v>
      </c>
      <c r="O49" s="1">
        <v>0.83040000000000003</v>
      </c>
      <c r="P49">
        <v>2278.9</v>
      </c>
      <c r="Q49" s="1">
        <v>0.1696</v>
      </c>
      <c r="R4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9" s="2">
        <f>Tabela_base[[#This Row],[Total Streams (in millions)]]-(Tabela_base[[#This Row],[Lead Streams (in millions)]]+Tabela_base[[#This Row],[Feature Streams (in millions)]])</f>
        <v>-6</v>
      </c>
    </row>
    <row r="50" spans="1:19" x14ac:dyDescent="0.3">
      <c r="A50" s="20">
        <v>49</v>
      </c>
      <c r="B50" t="s">
        <v>100</v>
      </c>
      <c r="C50" t="s">
        <v>17</v>
      </c>
      <c r="D50" t="s">
        <v>25</v>
      </c>
      <c r="E50" t="s">
        <v>19</v>
      </c>
      <c r="F50" t="s">
        <v>101</v>
      </c>
      <c r="G50" t="s">
        <v>21</v>
      </c>
      <c r="H50">
        <v>2010</v>
      </c>
      <c r="I50">
        <v>9439.9</v>
      </c>
      <c r="J50">
        <v>4498.2</v>
      </c>
      <c r="K50" s="1">
        <v>0.47649999999999998</v>
      </c>
      <c r="L50">
        <v>4948.6000000000004</v>
      </c>
      <c r="M50" s="1">
        <v>0.5242</v>
      </c>
      <c r="N50">
        <v>5621.4</v>
      </c>
      <c r="O50" s="1">
        <v>0.59550000000000003</v>
      </c>
      <c r="P50">
        <v>3818.5</v>
      </c>
      <c r="Q50" s="1">
        <v>0.40450000000000003</v>
      </c>
      <c r="R5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50" s="2">
        <f>Tabela_base[[#This Row],[Total Streams (in millions)]]-(Tabela_base[[#This Row],[Lead Streams (in millions)]]+Tabela_base[[#This Row],[Feature Streams (in millions)]])</f>
        <v>-6.8999999999996362</v>
      </c>
    </row>
    <row r="51" spans="1:19" x14ac:dyDescent="0.3">
      <c r="A51" s="20">
        <v>50</v>
      </c>
      <c r="B51" t="s">
        <v>102</v>
      </c>
      <c r="C51" t="s">
        <v>17</v>
      </c>
      <c r="D51" t="s">
        <v>103</v>
      </c>
      <c r="E51" t="s">
        <v>41</v>
      </c>
      <c r="F51" t="s">
        <v>42</v>
      </c>
      <c r="G51" t="s">
        <v>23</v>
      </c>
      <c r="H51">
        <v>2019</v>
      </c>
      <c r="I51">
        <v>10974</v>
      </c>
      <c r="J51">
        <v>9511.5</v>
      </c>
      <c r="K51" s="1">
        <v>0.86670000000000003</v>
      </c>
      <c r="L51">
        <v>1474.2</v>
      </c>
      <c r="M51" s="1">
        <v>0.1343</v>
      </c>
      <c r="N51">
        <v>3645.8</v>
      </c>
      <c r="O51" s="1">
        <v>0.3322</v>
      </c>
      <c r="P51">
        <v>7328.2</v>
      </c>
      <c r="Q51" s="1">
        <v>0.66779999999999995</v>
      </c>
      <c r="R5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51" s="2">
        <f>Tabela_base[[#This Row],[Total Streams (in millions)]]-(Tabela_base[[#This Row],[Lead Streams (in millions)]]+Tabela_base[[#This Row],[Feature Streams (in millions)]])</f>
        <v>-11.700000000000728</v>
      </c>
    </row>
    <row r="52" spans="1:19" x14ac:dyDescent="0.3">
      <c r="A52" s="20">
        <v>51</v>
      </c>
      <c r="B52" t="s">
        <v>104</v>
      </c>
      <c r="C52" t="s">
        <v>49</v>
      </c>
      <c r="D52" t="s">
        <v>105</v>
      </c>
      <c r="E52" t="s">
        <v>19</v>
      </c>
      <c r="F52" t="s">
        <v>29</v>
      </c>
      <c r="G52" t="s">
        <v>23</v>
      </c>
      <c r="H52">
        <v>2017</v>
      </c>
      <c r="I52">
        <v>7552.8</v>
      </c>
      <c r="J52">
        <v>5418.1</v>
      </c>
      <c r="K52" s="1">
        <v>0.71740000000000004</v>
      </c>
      <c r="L52">
        <v>2144.1</v>
      </c>
      <c r="M52" s="1">
        <v>0.28389999999999999</v>
      </c>
      <c r="N52">
        <v>4710</v>
      </c>
      <c r="O52" s="1">
        <v>0.62360000000000004</v>
      </c>
      <c r="P52">
        <v>2842.8</v>
      </c>
      <c r="Q52" s="1">
        <v>0.37640000000000001</v>
      </c>
      <c r="R5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52" s="2">
        <f>Tabela_base[[#This Row],[Total Streams (in millions)]]-(Tabela_base[[#This Row],[Lead Streams (in millions)]]+Tabela_base[[#This Row],[Feature Streams (in millions)]])</f>
        <v>-9.4000000000005457</v>
      </c>
    </row>
    <row r="53" spans="1:19" x14ac:dyDescent="0.3">
      <c r="A53" s="20">
        <v>52</v>
      </c>
      <c r="B53" t="s">
        <v>106</v>
      </c>
      <c r="C53" t="s">
        <v>49</v>
      </c>
      <c r="D53" t="s">
        <v>18</v>
      </c>
      <c r="E53" t="s">
        <v>19</v>
      </c>
      <c r="F53" t="s">
        <v>46</v>
      </c>
      <c r="G53" t="s">
        <v>23</v>
      </c>
      <c r="H53">
        <v>2014</v>
      </c>
      <c r="I53">
        <v>17440.2</v>
      </c>
      <c r="J53">
        <v>5933.3</v>
      </c>
      <c r="K53" s="1">
        <v>0.3402</v>
      </c>
      <c r="L53">
        <v>11512.1</v>
      </c>
      <c r="M53" s="1">
        <v>0.66010000000000002</v>
      </c>
      <c r="N53">
        <v>2784</v>
      </c>
      <c r="O53" s="1">
        <v>0.15959999999999999</v>
      </c>
      <c r="P53">
        <v>14656.2</v>
      </c>
      <c r="Q53" s="1">
        <v>0.84040000000000004</v>
      </c>
      <c r="R5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53" s="2">
        <f>Tabela_base[[#This Row],[Total Streams (in millions)]]-(Tabela_base[[#This Row],[Lead Streams (in millions)]]+Tabela_base[[#This Row],[Feature Streams (in millions)]])</f>
        <v>-5.2000000000007276</v>
      </c>
    </row>
    <row r="54" spans="1:19" x14ac:dyDescent="0.3">
      <c r="A54" s="20">
        <v>53</v>
      </c>
      <c r="B54" t="s">
        <v>107</v>
      </c>
      <c r="C54" t="s">
        <v>49</v>
      </c>
      <c r="D54" t="s">
        <v>18</v>
      </c>
      <c r="E54" t="s">
        <v>41</v>
      </c>
      <c r="F54" t="s">
        <v>58</v>
      </c>
      <c r="G54" t="s">
        <v>23</v>
      </c>
      <c r="H54">
        <v>2013</v>
      </c>
      <c r="I54">
        <v>12985.2</v>
      </c>
      <c r="J54">
        <v>8772.2000000000007</v>
      </c>
      <c r="K54" s="1">
        <v>0.67559999999999998</v>
      </c>
      <c r="L54">
        <v>4216.8</v>
      </c>
      <c r="M54" s="1">
        <v>0.32469999999999999</v>
      </c>
      <c r="N54">
        <v>2160.8000000000002</v>
      </c>
      <c r="O54" s="1">
        <v>0.16639999999999999</v>
      </c>
      <c r="P54">
        <v>10824.4</v>
      </c>
      <c r="Q54" s="1">
        <v>0.83360000000000001</v>
      </c>
      <c r="R5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54" s="2">
        <f>Tabela_base[[#This Row],[Total Streams (in millions)]]-(Tabela_base[[#This Row],[Lead Streams (in millions)]]+Tabela_base[[#This Row],[Feature Streams (in millions)]])</f>
        <v>-3.7999999999992724</v>
      </c>
    </row>
    <row r="55" spans="1:19" x14ac:dyDescent="0.3">
      <c r="A55" s="20">
        <v>54</v>
      </c>
      <c r="B55" t="s">
        <v>108</v>
      </c>
      <c r="C55" t="s">
        <v>17</v>
      </c>
      <c r="D55" t="s">
        <v>25</v>
      </c>
      <c r="E55" t="s">
        <v>19</v>
      </c>
      <c r="F55" t="s">
        <v>46</v>
      </c>
      <c r="G55" t="s">
        <v>21</v>
      </c>
      <c r="H55">
        <v>1963</v>
      </c>
      <c r="I55">
        <v>8197.2000000000007</v>
      </c>
      <c r="J55">
        <v>8080.4</v>
      </c>
      <c r="K55" s="1">
        <v>0.98580000000000001</v>
      </c>
      <c r="L55">
        <v>120.7</v>
      </c>
      <c r="M55" s="1">
        <v>1.47E-2</v>
      </c>
      <c r="N55">
        <v>7892.6</v>
      </c>
      <c r="O55" s="1">
        <v>0.96279999999999999</v>
      </c>
      <c r="P55">
        <v>304.60000000000002</v>
      </c>
      <c r="Q55" s="1">
        <v>3.7199999999999997E-2</v>
      </c>
      <c r="R5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55" s="2">
        <f>Tabela_base[[#This Row],[Total Streams (in millions)]]-(Tabela_base[[#This Row],[Lead Streams (in millions)]]+Tabela_base[[#This Row],[Feature Streams (in millions)]])</f>
        <v>-3.8999999999996362</v>
      </c>
    </row>
    <row r="56" spans="1:19" x14ac:dyDescent="0.3">
      <c r="A56" s="20">
        <v>55</v>
      </c>
      <c r="B56" t="s">
        <v>109</v>
      </c>
      <c r="C56" t="s">
        <v>17</v>
      </c>
      <c r="D56" t="s">
        <v>18</v>
      </c>
      <c r="E56" t="s">
        <v>19</v>
      </c>
      <c r="F56" t="s">
        <v>46</v>
      </c>
      <c r="G56" t="s">
        <v>23</v>
      </c>
      <c r="H56">
        <v>2007</v>
      </c>
      <c r="I56">
        <v>7114.1</v>
      </c>
      <c r="J56">
        <v>4400.3</v>
      </c>
      <c r="K56" s="1">
        <v>0.61850000000000005</v>
      </c>
      <c r="L56">
        <v>2716</v>
      </c>
      <c r="M56" s="1">
        <v>0.38179999999999997</v>
      </c>
      <c r="N56">
        <v>3.9</v>
      </c>
      <c r="O56" s="1">
        <v>5.0000000000000001E-4</v>
      </c>
      <c r="P56">
        <v>7110.2</v>
      </c>
      <c r="Q56" s="1">
        <v>0.99950000000000006</v>
      </c>
      <c r="R5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56" s="2">
        <f>Tabela_base[[#This Row],[Total Streams (in millions)]]-(Tabela_base[[#This Row],[Lead Streams (in millions)]]+Tabela_base[[#This Row],[Feature Streams (in millions)]])</f>
        <v>-2.1999999999998181</v>
      </c>
    </row>
    <row r="57" spans="1:19" x14ac:dyDescent="0.3">
      <c r="A57" s="20">
        <v>56</v>
      </c>
      <c r="B57" t="s">
        <v>110</v>
      </c>
      <c r="C57" t="s">
        <v>17</v>
      </c>
      <c r="D57" t="s">
        <v>18</v>
      </c>
      <c r="E57" t="s">
        <v>19</v>
      </c>
      <c r="F57" t="s">
        <v>46</v>
      </c>
      <c r="G57" t="s">
        <v>23</v>
      </c>
      <c r="H57">
        <v>2021</v>
      </c>
      <c r="I57">
        <v>9949.6</v>
      </c>
      <c r="J57">
        <v>9956.4</v>
      </c>
      <c r="K57" s="1">
        <v>1.0006999999999999</v>
      </c>
      <c r="L57">
        <v>0</v>
      </c>
      <c r="M57" s="1">
        <v>0</v>
      </c>
      <c r="N57">
        <v>9911.9</v>
      </c>
      <c r="O57" s="1">
        <v>0.99619999999999997</v>
      </c>
      <c r="P57">
        <v>37.700000000000003</v>
      </c>
      <c r="Q57" s="1">
        <v>3.8E-3</v>
      </c>
      <c r="R5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57" s="2">
        <f>Tabela_base[[#This Row],[Total Streams (in millions)]]-(Tabela_base[[#This Row],[Lead Streams (in millions)]]+Tabela_base[[#This Row],[Feature Streams (in millions)]])</f>
        <v>-6.7999999999992724</v>
      </c>
    </row>
    <row r="58" spans="1:19" x14ac:dyDescent="0.3">
      <c r="A58" s="20">
        <v>57</v>
      </c>
      <c r="B58" t="s">
        <v>111</v>
      </c>
      <c r="C58" t="s">
        <v>49</v>
      </c>
      <c r="D58" t="s">
        <v>18</v>
      </c>
      <c r="E58" t="s">
        <v>19</v>
      </c>
      <c r="F58" t="s">
        <v>46</v>
      </c>
      <c r="G58" t="s">
        <v>23</v>
      </c>
      <c r="H58">
        <v>2003</v>
      </c>
      <c r="I58">
        <v>34975.199999999997</v>
      </c>
      <c r="J58">
        <v>29662.799999999999</v>
      </c>
      <c r="K58" s="1">
        <v>0.84809999999999997</v>
      </c>
      <c r="L58">
        <v>5325.3</v>
      </c>
      <c r="M58" s="1">
        <v>0.15229999999999999</v>
      </c>
      <c r="N58">
        <v>21863.9</v>
      </c>
      <c r="O58" s="1">
        <v>0.62509999999999999</v>
      </c>
      <c r="P58">
        <v>13111.3</v>
      </c>
      <c r="Q58" s="1">
        <v>0.37490000000000001</v>
      </c>
      <c r="R5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58" s="2">
        <f>Tabela_base[[#This Row],[Total Streams (in millions)]]-(Tabela_base[[#This Row],[Lead Streams (in millions)]]+Tabela_base[[#This Row],[Feature Streams (in millions)]])</f>
        <v>-12.900000000001455</v>
      </c>
    </row>
    <row r="59" spans="1:19" x14ac:dyDescent="0.3">
      <c r="A59" s="20">
        <v>58</v>
      </c>
      <c r="B59" t="s">
        <v>112</v>
      </c>
      <c r="C59" t="s">
        <v>49</v>
      </c>
      <c r="D59" t="s">
        <v>113</v>
      </c>
      <c r="E59" t="s">
        <v>114</v>
      </c>
      <c r="F59" t="s">
        <v>115</v>
      </c>
      <c r="G59" t="s">
        <v>23</v>
      </c>
      <c r="H59">
        <v>1980</v>
      </c>
      <c r="I59">
        <v>8316.5</v>
      </c>
      <c r="J59">
        <v>8317.7999999999993</v>
      </c>
      <c r="K59" s="1">
        <v>1.0002</v>
      </c>
      <c r="L59">
        <v>0</v>
      </c>
      <c r="M59" s="1">
        <v>0</v>
      </c>
      <c r="N59">
        <v>8289</v>
      </c>
      <c r="O59" s="1">
        <v>0.99670000000000003</v>
      </c>
      <c r="P59">
        <v>27.5</v>
      </c>
      <c r="Q59" s="1">
        <v>3.3E-3</v>
      </c>
      <c r="R5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59" s="2">
        <f>Tabela_base[[#This Row],[Total Streams (in millions)]]-(Tabela_base[[#This Row],[Lead Streams (in millions)]]+Tabela_base[[#This Row],[Feature Streams (in millions)]])</f>
        <v>-1.2999999999992724</v>
      </c>
    </row>
    <row r="60" spans="1:19" x14ac:dyDescent="0.3">
      <c r="A60" s="20">
        <v>59</v>
      </c>
      <c r="B60" t="s">
        <v>116</v>
      </c>
      <c r="C60" t="s">
        <v>17</v>
      </c>
      <c r="D60" t="s">
        <v>18</v>
      </c>
      <c r="E60" t="s">
        <v>19</v>
      </c>
      <c r="F60" t="s">
        <v>20</v>
      </c>
      <c r="G60" t="s">
        <v>23</v>
      </c>
      <c r="H60">
        <v>2007</v>
      </c>
      <c r="I60">
        <v>16428.900000000001</v>
      </c>
      <c r="J60">
        <v>12009.4</v>
      </c>
      <c r="K60" s="1">
        <v>0.73099999999999998</v>
      </c>
      <c r="L60">
        <v>4364.5</v>
      </c>
      <c r="M60" s="1">
        <v>0.26569999999999999</v>
      </c>
      <c r="N60">
        <v>2139</v>
      </c>
      <c r="O60" s="1">
        <v>0.13020000000000001</v>
      </c>
      <c r="P60">
        <v>14289.9</v>
      </c>
      <c r="Q60" s="1">
        <v>0.86980000000000002</v>
      </c>
      <c r="R6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60" s="2">
        <f>Tabela_base[[#This Row],[Total Streams (in millions)]]-(Tabela_base[[#This Row],[Lead Streams (in millions)]]+Tabela_base[[#This Row],[Feature Streams (in millions)]])</f>
        <v>55.000000000001819</v>
      </c>
    </row>
    <row r="61" spans="1:19" x14ac:dyDescent="0.3">
      <c r="A61" s="20">
        <v>60</v>
      </c>
      <c r="B61" t="s">
        <v>117</v>
      </c>
      <c r="C61" t="s">
        <v>49</v>
      </c>
      <c r="D61" t="s">
        <v>18</v>
      </c>
      <c r="E61" t="s">
        <v>19</v>
      </c>
      <c r="F61" t="s">
        <v>46</v>
      </c>
      <c r="G61" t="s">
        <v>23</v>
      </c>
      <c r="H61">
        <v>2015</v>
      </c>
      <c r="I61">
        <v>58049.5</v>
      </c>
      <c r="J61">
        <v>57160.1</v>
      </c>
      <c r="K61" s="1">
        <v>0.98470000000000002</v>
      </c>
      <c r="L61">
        <v>889.4</v>
      </c>
      <c r="M61" s="1">
        <v>1.5299999999999999E-2</v>
      </c>
      <c r="N61">
        <v>51567.9</v>
      </c>
      <c r="O61" s="1">
        <v>0.88829999999999998</v>
      </c>
      <c r="P61">
        <v>6481.6</v>
      </c>
      <c r="Q61" s="1">
        <v>0.11169999999999999</v>
      </c>
      <c r="R6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61" s="2">
        <f>Tabela_base[[#This Row],[Total Streams (in millions)]]-(Tabela_base[[#This Row],[Lead Streams (in millions)]]+Tabela_base[[#This Row],[Feature Streams (in millions)]])</f>
        <v>0</v>
      </c>
    </row>
    <row r="62" spans="1:19" x14ac:dyDescent="0.3">
      <c r="A62" s="20">
        <v>61</v>
      </c>
      <c r="B62" t="s">
        <v>118</v>
      </c>
      <c r="C62" t="s">
        <v>17</v>
      </c>
      <c r="D62" t="s">
        <v>18</v>
      </c>
      <c r="E62" t="s">
        <v>19</v>
      </c>
      <c r="F62" t="s">
        <v>29</v>
      </c>
      <c r="G62" t="s">
        <v>23</v>
      </c>
      <c r="H62">
        <v>1971</v>
      </c>
      <c r="I62">
        <v>9290.9</v>
      </c>
      <c r="J62">
        <v>9255.2000000000007</v>
      </c>
      <c r="K62" s="1">
        <v>0.99619999999999997</v>
      </c>
      <c r="L62">
        <v>40.4</v>
      </c>
      <c r="M62" s="1">
        <v>4.3E-3</v>
      </c>
      <c r="N62">
        <v>9207.2000000000007</v>
      </c>
      <c r="O62" s="1">
        <v>0.99099999999999999</v>
      </c>
      <c r="P62">
        <v>83.7</v>
      </c>
      <c r="Q62" s="1">
        <v>8.9999999999999993E-3</v>
      </c>
      <c r="R6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62" s="2">
        <f>Tabela_base[[#This Row],[Total Streams (in millions)]]-(Tabela_base[[#This Row],[Lead Streams (in millions)]]+Tabela_base[[#This Row],[Feature Streams (in millions)]])</f>
        <v>-4.7000000000007276</v>
      </c>
    </row>
    <row r="63" spans="1:19" x14ac:dyDescent="0.3">
      <c r="A63" s="20">
        <v>62</v>
      </c>
      <c r="B63" t="s">
        <v>119</v>
      </c>
      <c r="C63" t="s">
        <v>17</v>
      </c>
      <c r="D63" t="s">
        <v>120</v>
      </c>
      <c r="E63" t="s">
        <v>41</v>
      </c>
      <c r="F63" t="s">
        <v>58</v>
      </c>
      <c r="G63" t="s">
        <v>23</v>
      </c>
      <c r="H63">
        <v>2017</v>
      </c>
      <c r="I63">
        <v>15638.8</v>
      </c>
      <c r="J63">
        <v>13216.1</v>
      </c>
      <c r="K63" s="1">
        <v>0.84509999999999996</v>
      </c>
      <c r="L63">
        <v>2427.1999999999998</v>
      </c>
      <c r="M63" s="1">
        <v>0.1552</v>
      </c>
      <c r="N63">
        <v>84.5</v>
      </c>
      <c r="O63" s="1">
        <v>5.4000000000000003E-3</v>
      </c>
      <c r="P63">
        <v>15554.3</v>
      </c>
      <c r="Q63" s="1">
        <v>0.99460000000000004</v>
      </c>
      <c r="R6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63" s="2">
        <f>Tabela_base[[#This Row],[Total Streams (in millions)]]-(Tabela_base[[#This Row],[Lead Streams (in millions)]]+Tabela_base[[#This Row],[Feature Streams (in millions)]])</f>
        <v>-4.5</v>
      </c>
    </row>
    <row r="64" spans="1:19" x14ac:dyDescent="0.3">
      <c r="A64" s="20">
        <v>63</v>
      </c>
      <c r="B64" t="s">
        <v>121</v>
      </c>
      <c r="C64" t="s">
        <v>44</v>
      </c>
      <c r="D64" t="s">
        <v>18</v>
      </c>
      <c r="E64" t="s">
        <v>19</v>
      </c>
      <c r="F64" t="s">
        <v>20</v>
      </c>
      <c r="G64" t="s">
        <v>21</v>
      </c>
      <c r="H64">
        <v>1998</v>
      </c>
      <c r="I64">
        <v>15775.7</v>
      </c>
      <c r="J64">
        <v>15257.4</v>
      </c>
      <c r="K64" s="1">
        <v>0.96709999999999996</v>
      </c>
      <c r="L64">
        <v>527.70000000000005</v>
      </c>
      <c r="M64" s="1">
        <v>3.3500000000000002E-2</v>
      </c>
      <c r="N64">
        <v>11623</v>
      </c>
      <c r="O64" s="1">
        <v>0.73680000000000001</v>
      </c>
      <c r="P64">
        <v>4152.7</v>
      </c>
      <c r="Q64" s="1">
        <v>0.26319999999999999</v>
      </c>
      <c r="R6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64" s="2">
        <f>Tabela_base[[#This Row],[Total Streams (in millions)]]-(Tabela_base[[#This Row],[Lead Streams (in millions)]]+Tabela_base[[#This Row],[Feature Streams (in millions)]])</f>
        <v>-9.3999999999996362</v>
      </c>
    </row>
    <row r="65" spans="1:19" x14ac:dyDescent="0.3">
      <c r="A65" s="20">
        <v>64</v>
      </c>
      <c r="B65" t="s">
        <v>122</v>
      </c>
      <c r="C65" t="s">
        <v>17</v>
      </c>
      <c r="D65" t="s">
        <v>18</v>
      </c>
      <c r="E65" t="s">
        <v>19</v>
      </c>
      <c r="F65" t="s">
        <v>33</v>
      </c>
      <c r="G65" t="s">
        <v>23</v>
      </c>
      <c r="H65">
        <v>2006</v>
      </c>
      <c r="I65">
        <v>11428.5</v>
      </c>
      <c r="J65">
        <v>7562.2</v>
      </c>
      <c r="K65" s="1">
        <v>0.66169999999999995</v>
      </c>
      <c r="L65">
        <v>3868</v>
      </c>
      <c r="M65" s="1">
        <v>0.33850000000000002</v>
      </c>
      <c r="N65">
        <v>6108.9</v>
      </c>
      <c r="O65" s="1">
        <v>0.53449999999999998</v>
      </c>
      <c r="P65">
        <v>5319.6</v>
      </c>
      <c r="Q65" s="1">
        <v>0.46550000000000002</v>
      </c>
      <c r="R6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65" s="2">
        <f>Tabela_base[[#This Row],[Total Streams (in millions)]]-(Tabela_base[[#This Row],[Lead Streams (in millions)]]+Tabela_base[[#This Row],[Feature Streams (in millions)]])</f>
        <v>-1.7000000000007276</v>
      </c>
    </row>
    <row r="66" spans="1:19" x14ac:dyDescent="0.3">
      <c r="A66" s="20">
        <v>65</v>
      </c>
      <c r="B66" t="s">
        <v>123</v>
      </c>
      <c r="C66" t="s">
        <v>49</v>
      </c>
      <c r="D66" t="s">
        <v>124</v>
      </c>
      <c r="E66" t="s">
        <v>125</v>
      </c>
      <c r="F66" t="s">
        <v>126</v>
      </c>
      <c r="G66" t="s">
        <v>21</v>
      </c>
      <c r="H66">
        <v>2016</v>
      </c>
      <c r="I66">
        <v>17517.400000000001</v>
      </c>
      <c r="J66">
        <v>7595.2</v>
      </c>
      <c r="K66" s="1">
        <v>0.43359999999999999</v>
      </c>
      <c r="L66">
        <v>9927.7999999999993</v>
      </c>
      <c r="M66" s="1">
        <v>0.56669999999999998</v>
      </c>
      <c r="N66">
        <v>15415.4</v>
      </c>
      <c r="O66" s="1">
        <v>0.88</v>
      </c>
      <c r="P66">
        <v>2102</v>
      </c>
      <c r="Q66" s="1">
        <v>0.12</v>
      </c>
      <c r="R6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66" s="2">
        <f>Tabela_base[[#This Row],[Total Streams (in millions)]]-(Tabela_base[[#This Row],[Lead Streams (in millions)]]+Tabela_base[[#This Row],[Feature Streams (in millions)]])</f>
        <v>-5.5999999999985448</v>
      </c>
    </row>
    <row r="67" spans="1:19" x14ac:dyDescent="0.3">
      <c r="A67" s="20">
        <v>66</v>
      </c>
      <c r="B67" t="s">
        <v>127</v>
      </c>
      <c r="C67" t="s">
        <v>17</v>
      </c>
      <c r="D67" t="s">
        <v>103</v>
      </c>
      <c r="E67" t="s">
        <v>41</v>
      </c>
      <c r="F67" t="s">
        <v>42</v>
      </c>
      <c r="G67" t="s">
        <v>23</v>
      </c>
      <c r="H67">
        <v>2018</v>
      </c>
      <c r="I67">
        <v>8965</v>
      </c>
      <c r="J67">
        <v>6387.9</v>
      </c>
      <c r="K67" s="1">
        <v>0.71250000000000002</v>
      </c>
      <c r="L67">
        <v>2587.4</v>
      </c>
      <c r="M67" s="1">
        <v>0.28860000000000002</v>
      </c>
      <c r="N67">
        <v>1238.0999999999999</v>
      </c>
      <c r="O67" s="1">
        <v>0.1381</v>
      </c>
      <c r="P67">
        <v>7726.9</v>
      </c>
      <c r="Q67" s="1">
        <v>0.8619</v>
      </c>
      <c r="R6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67" s="2">
        <f>Tabela_base[[#This Row],[Total Streams (in millions)]]-(Tabela_base[[#This Row],[Lead Streams (in millions)]]+Tabela_base[[#This Row],[Feature Streams (in millions)]])</f>
        <v>-10.299999999999272</v>
      </c>
    </row>
    <row r="68" spans="1:19" x14ac:dyDescent="0.3">
      <c r="A68" s="20">
        <v>67</v>
      </c>
      <c r="B68" t="s">
        <v>128</v>
      </c>
      <c r="C68" t="s">
        <v>17</v>
      </c>
      <c r="D68" t="s">
        <v>18</v>
      </c>
      <c r="E68" t="s">
        <v>19</v>
      </c>
      <c r="F68" t="s">
        <v>29</v>
      </c>
      <c r="G68" t="s">
        <v>21</v>
      </c>
      <c r="H68">
        <v>1995</v>
      </c>
      <c r="I68">
        <v>10760.4</v>
      </c>
      <c r="J68">
        <v>10630.4</v>
      </c>
      <c r="K68" s="1">
        <v>0.9879</v>
      </c>
      <c r="L68">
        <v>133.80000000000001</v>
      </c>
      <c r="M68" s="1">
        <v>1.24E-2</v>
      </c>
      <c r="N68">
        <v>10584.7</v>
      </c>
      <c r="O68" s="1">
        <v>0.98370000000000002</v>
      </c>
      <c r="P68">
        <v>175.7</v>
      </c>
      <c r="Q68" s="1">
        <v>1.6299999999999999E-2</v>
      </c>
      <c r="R6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68" s="2">
        <f>Tabela_base[[#This Row],[Total Streams (in millions)]]-(Tabela_base[[#This Row],[Lead Streams (in millions)]]+Tabela_base[[#This Row],[Feature Streams (in millions)]])</f>
        <v>-3.7999999999992724</v>
      </c>
    </row>
    <row r="69" spans="1:19" x14ac:dyDescent="0.3">
      <c r="A69" s="20">
        <v>68</v>
      </c>
      <c r="B69" t="s">
        <v>129</v>
      </c>
      <c r="C69" t="s">
        <v>17</v>
      </c>
      <c r="D69" t="s">
        <v>130</v>
      </c>
      <c r="E69" t="s">
        <v>19</v>
      </c>
      <c r="F69" t="s">
        <v>131</v>
      </c>
      <c r="G69" t="s">
        <v>21</v>
      </c>
      <c r="H69">
        <v>1962</v>
      </c>
      <c r="I69">
        <v>14992.7</v>
      </c>
      <c r="J69">
        <v>14837.1</v>
      </c>
      <c r="K69" s="1">
        <v>0.98960000000000004</v>
      </c>
      <c r="L69">
        <v>161.6</v>
      </c>
      <c r="M69" s="1">
        <v>1.0800000000000001E-2</v>
      </c>
      <c r="N69">
        <v>13836</v>
      </c>
      <c r="O69" s="1">
        <v>0.92279999999999995</v>
      </c>
      <c r="P69">
        <v>1156.7</v>
      </c>
      <c r="Q69" s="1">
        <v>7.7200000000000005E-2</v>
      </c>
      <c r="R6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69" s="2">
        <f>Tabela_base[[#This Row],[Total Streams (in millions)]]-(Tabela_base[[#This Row],[Lead Streams (in millions)]]+Tabela_base[[#This Row],[Feature Streams (in millions)]])</f>
        <v>-6</v>
      </c>
    </row>
    <row r="70" spans="1:19" x14ac:dyDescent="0.3">
      <c r="A70" s="20">
        <v>69</v>
      </c>
      <c r="B70" t="s">
        <v>132</v>
      </c>
      <c r="C70" t="s">
        <v>17</v>
      </c>
      <c r="D70" t="s">
        <v>18</v>
      </c>
      <c r="E70" t="s">
        <v>19</v>
      </c>
      <c r="F70" t="s">
        <v>133</v>
      </c>
      <c r="G70" t="s">
        <v>23</v>
      </c>
      <c r="H70">
        <v>2007</v>
      </c>
      <c r="I70">
        <v>8065.4</v>
      </c>
      <c r="J70">
        <v>7161.8</v>
      </c>
      <c r="K70" s="1">
        <v>0.88800000000000001</v>
      </c>
      <c r="L70">
        <v>905.7</v>
      </c>
      <c r="M70" s="1">
        <v>0.1123</v>
      </c>
      <c r="N70">
        <v>4817</v>
      </c>
      <c r="O70" s="1">
        <v>0.59719999999999995</v>
      </c>
      <c r="P70">
        <v>3248.4</v>
      </c>
      <c r="Q70" s="1">
        <v>0.40279999999999999</v>
      </c>
      <c r="R7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70" s="2">
        <f>Tabela_base[[#This Row],[Total Streams (in millions)]]-(Tabela_base[[#This Row],[Lead Streams (in millions)]]+Tabela_base[[#This Row],[Feature Streams (in millions)]])</f>
        <v>-2.1000000000003638</v>
      </c>
    </row>
    <row r="71" spans="1:19" x14ac:dyDescent="0.3">
      <c r="A71" s="20">
        <v>70</v>
      </c>
      <c r="B71" t="s">
        <v>134</v>
      </c>
      <c r="C71" t="s">
        <v>17</v>
      </c>
      <c r="D71" t="s">
        <v>18</v>
      </c>
      <c r="E71" t="s">
        <v>19</v>
      </c>
      <c r="F71" t="s">
        <v>29</v>
      </c>
      <c r="G71" t="s">
        <v>21</v>
      </c>
      <c r="H71">
        <v>1984</v>
      </c>
      <c r="I71">
        <v>10771.3</v>
      </c>
      <c r="J71">
        <v>10772.2</v>
      </c>
      <c r="K71" s="1">
        <v>1.0001</v>
      </c>
      <c r="L71">
        <v>0.6</v>
      </c>
      <c r="M71" s="1">
        <v>1E-4</v>
      </c>
      <c r="N71">
        <v>10575.9</v>
      </c>
      <c r="O71" s="1">
        <v>0.9819</v>
      </c>
      <c r="P71">
        <v>195.4</v>
      </c>
      <c r="Q71" s="1">
        <v>1.8100000000000002E-2</v>
      </c>
      <c r="R7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71" s="2">
        <f>Tabela_base[[#This Row],[Total Streams (in millions)]]-(Tabela_base[[#This Row],[Lead Streams (in millions)]]+Tabela_base[[#This Row],[Feature Streams (in millions)]])</f>
        <v>-1.500000000001819</v>
      </c>
    </row>
    <row r="72" spans="1:19" x14ac:dyDescent="0.3">
      <c r="A72" s="20">
        <v>71</v>
      </c>
      <c r="B72" t="s">
        <v>135</v>
      </c>
      <c r="C72" t="s">
        <v>17</v>
      </c>
      <c r="D72" t="s">
        <v>113</v>
      </c>
      <c r="E72" t="s">
        <v>114</v>
      </c>
      <c r="F72" t="s">
        <v>20</v>
      </c>
      <c r="G72" t="s">
        <v>23</v>
      </c>
      <c r="H72">
        <v>2006</v>
      </c>
      <c r="I72">
        <v>8326.7000000000007</v>
      </c>
      <c r="J72">
        <v>4696.3999999999996</v>
      </c>
      <c r="K72" s="1">
        <v>0.56399999999999995</v>
      </c>
      <c r="L72">
        <v>3630.4</v>
      </c>
      <c r="M72" s="1">
        <v>0.436</v>
      </c>
      <c r="N72">
        <v>1125.8</v>
      </c>
      <c r="O72" s="1">
        <v>0.13519999999999999</v>
      </c>
      <c r="P72">
        <v>7200.9</v>
      </c>
      <c r="Q72" s="1">
        <v>0.86480000000000001</v>
      </c>
      <c r="R7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72" s="2">
        <f>Tabela_base[[#This Row],[Total Streams (in millions)]]-(Tabela_base[[#This Row],[Lead Streams (in millions)]]+Tabela_base[[#This Row],[Feature Streams (in millions)]])</f>
        <v>-9.9999999998544808E-2</v>
      </c>
    </row>
    <row r="73" spans="1:19" x14ac:dyDescent="0.3">
      <c r="A73" s="20">
        <v>72</v>
      </c>
      <c r="B73" t="s">
        <v>136</v>
      </c>
      <c r="C73" t="s">
        <v>17</v>
      </c>
      <c r="D73" t="s">
        <v>18</v>
      </c>
      <c r="E73" t="s">
        <v>19</v>
      </c>
      <c r="F73" t="s">
        <v>33</v>
      </c>
      <c r="G73" t="s">
        <v>23</v>
      </c>
      <c r="H73">
        <v>2013</v>
      </c>
      <c r="I73">
        <v>13490.4</v>
      </c>
      <c r="J73">
        <v>9955.4</v>
      </c>
      <c r="K73" s="1">
        <v>0.73799999999999999</v>
      </c>
      <c r="L73">
        <v>3540.8</v>
      </c>
      <c r="M73" s="1">
        <v>0.26250000000000001</v>
      </c>
      <c r="N73">
        <v>8582.9</v>
      </c>
      <c r="O73" s="1">
        <v>0.63619999999999999</v>
      </c>
      <c r="P73">
        <v>4907.5</v>
      </c>
      <c r="Q73" s="1">
        <v>0.36380000000000001</v>
      </c>
      <c r="R7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73" s="2">
        <f>Tabela_base[[#This Row],[Total Streams (in millions)]]-(Tabela_base[[#This Row],[Lead Streams (in millions)]]+Tabela_base[[#This Row],[Feature Streams (in millions)]])</f>
        <v>-5.8000000000010914</v>
      </c>
    </row>
    <row r="74" spans="1:19" x14ac:dyDescent="0.3">
      <c r="A74" s="20">
        <v>73</v>
      </c>
      <c r="B74" t="s">
        <v>137</v>
      </c>
      <c r="C74" t="s">
        <v>17</v>
      </c>
      <c r="D74" t="s">
        <v>25</v>
      </c>
      <c r="E74" t="s">
        <v>19</v>
      </c>
      <c r="F74" t="s">
        <v>29</v>
      </c>
      <c r="G74" t="s">
        <v>21</v>
      </c>
      <c r="H74">
        <v>2006</v>
      </c>
      <c r="I74">
        <v>10108</v>
      </c>
      <c r="J74">
        <v>8333.7000000000007</v>
      </c>
      <c r="K74" s="1">
        <v>0.82450000000000001</v>
      </c>
      <c r="L74">
        <v>1782</v>
      </c>
      <c r="M74" s="1">
        <v>0.17630000000000001</v>
      </c>
      <c r="N74">
        <v>8006.1</v>
      </c>
      <c r="O74" s="1">
        <v>0.79210000000000003</v>
      </c>
      <c r="P74">
        <v>2101.9</v>
      </c>
      <c r="Q74" s="1">
        <v>0.2079</v>
      </c>
      <c r="R7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74" s="2">
        <f>Tabela_base[[#This Row],[Total Streams (in millions)]]-(Tabela_base[[#This Row],[Lead Streams (in millions)]]+Tabela_base[[#This Row],[Feature Streams (in millions)]])</f>
        <v>-7.7000000000007276</v>
      </c>
    </row>
    <row r="75" spans="1:19" x14ac:dyDescent="0.3">
      <c r="A75" s="20">
        <v>74</v>
      </c>
      <c r="B75" t="s">
        <v>138</v>
      </c>
      <c r="C75" t="s">
        <v>49</v>
      </c>
      <c r="D75" t="s">
        <v>18</v>
      </c>
      <c r="E75" t="s">
        <v>19</v>
      </c>
      <c r="F75" t="s">
        <v>46</v>
      </c>
      <c r="G75" t="s">
        <v>23</v>
      </c>
      <c r="H75">
        <v>1998</v>
      </c>
      <c r="I75">
        <v>16148.3</v>
      </c>
      <c r="J75">
        <v>14108.3</v>
      </c>
      <c r="K75" s="1">
        <v>0.87370000000000003</v>
      </c>
      <c r="L75">
        <v>2048.1</v>
      </c>
      <c r="M75" s="1">
        <v>0.1268</v>
      </c>
      <c r="N75">
        <v>13480.8</v>
      </c>
      <c r="O75" s="1">
        <v>0.83479999999999999</v>
      </c>
      <c r="P75">
        <v>2667.5</v>
      </c>
      <c r="Q75" s="1">
        <v>0.16520000000000001</v>
      </c>
      <c r="R7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75" s="2">
        <f>Tabela_base[[#This Row],[Total Streams (in millions)]]-(Tabela_base[[#This Row],[Lead Streams (in millions)]]+Tabela_base[[#This Row],[Feature Streams (in millions)]])</f>
        <v>-8.1000000000003638</v>
      </c>
    </row>
    <row r="76" spans="1:19" x14ac:dyDescent="0.3">
      <c r="A76" s="20">
        <v>75</v>
      </c>
      <c r="B76" t="s">
        <v>139</v>
      </c>
      <c r="C76" t="s">
        <v>17</v>
      </c>
      <c r="D76" t="s">
        <v>18</v>
      </c>
      <c r="E76" t="s">
        <v>19</v>
      </c>
      <c r="F76" t="s">
        <v>29</v>
      </c>
      <c r="G76" t="s">
        <v>23</v>
      </c>
      <c r="H76">
        <v>1973</v>
      </c>
      <c r="I76">
        <v>8927.6</v>
      </c>
      <c r="J76">
        <v>8741.2000000000007</v>
      </c>
      <c r="K76" s="1">
        <v>0.97909999999999997</v>
      </c>
      <c r="L76">
        <v>189.7</v>
      </c>
      <c r="M76" s="1">
        <v>2.12E-2</v>
      </c>
      <c r="N76">
        <v>8713.2999999999993</v>
      </c>
      <c r="O76" s="1">
        <v>0.97599999999999998</v>
      </c>
      <c r="P76">
        <v>214.3</v>
      </c>
      <c r="Q76" s="1">
        <v>2.4E-2</v>
      </c>
      <c r="R7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76" s="2">
        <f>Tabela_base[[#This Row],[Total Streams (in millions)]]-(Tabela_base[[#This Row],[Lead Streams (in millions)]]+Tabela_base[[#This Row],[Feature Streams (in millions)]])</f>
        <v>-3.3000000000010914</v>
      </c>
    </row>
    <row r="77" spans="1:19" x14ac:dyDescent="0.3">
      <c r="A77" s="20">
        <v>76</v>
      </c>
      <c r="B77" t="s">
        <v>140</v>
      </c>
      <c r="C77" t="s">
        <v>17</v>
      </c>
      <c r="D77" t="s">
        <v>18</v>
      </c>
      <c r="E77" t="s">
        <v>19</v>
      </c>
      <c r="F77" t="s">
        <v>46</v>
      </c>
      <c r="G77" t="s">
        <v>23</v>
      </c>
      <c r="H77">
        <v>2010</v>
      </c>
      <c r="I77">
        <v>56727.1</v>
      </c>
      <c r="J77">
        <v>40714</v>
      </c>
      <c r="K77" s="1">
        <v>0.7177</v>
      </c>
      <c r="L77">
        <v>16013.1</v>
      </c>
      <c r="M77" s="1">
        <v>0.2823</v>
      </c>
      <c r="N77">
        <v>33618.1</v>
      </c>
      <c r="O77" s="1">
        <v>0.59260000000000002</v>
      </c>
      <c r="P77">
        <v>23109</v>
      </c>
      <c r="Q77" s="1">
        <v>0.40739999999999998</v>
      </c>
      <c r="R7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77" s="2">
        <f>Tabela_base[[#This Row],[Total Streams (in millions)]]-(Tabela_base[[#This Row],[Lead Streams (in millions)]]+Tabela_base[[#This Row],[Feature Streams (in millions)]])</f>
        <v>0</v>
      </c>
    </row>
    <row r="78" spans="1:19" x14ac:dyDescent="0.3">
      <c r="A78" s="20">
        <v>77</v>
      </c>
      <c r="B78" t="s">
        <v>141</v>
      </c>
      <c r="C78" t="s">
        <v>17</v>
      </c>
      <c r="D78" t="s">
        <v>62</v>
      </c>
      <c r="E78" t="s">
        <v>19</v>
      </c>
      <c r="F78" t="s">
        <v>29</v>
      </c>
      <c r="G78" t="s">
        <v>23</v>
      </c>
      <c r="H78">
        <v>1980</v>
      </c>
      <c r="I78">
        <v>7503.2</v>
      </c>
      <c r="J78">
        <v>5958.2</v>
      </c>
      <c r="K78" s="1">
        <v>0.79410000000000003</v>
      </c>
      <c r="L78">
        <v>1568.1</v>
      </c>
      <c r="M78" s="1">
        <v>0.20899999999999999</v>
      </c>
      <c r="N78">
        <v>6592.7</v>
      </c>
      <c r="O78" s="1">
        <v>0.87870000000000004</v>
      </c>
      <c r="P78">
        <v>910.5</v>
      </c>
      <c r="Q78" s="1">
        <v>0.12130000000000001</v>
      </c>
      <c r="R7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78" s="2">
        <f>Tabela_base[[#This Row],[Total Streams (in millions)]]-(Tabela_base[[#This Row],[Lead Streams (in millions)]]+Tabela_base[[#This Row],[Feature Streams (in millions)]])</f>
        <v>-23.099999999999454</v>
      </c>
    </row>
    <row r="79" spans="1:19" x14ac:dyDescent="0.3">
      <c r="A79" s="20">
        <v>78</v>
      </c>
      <c r="B79" t="s">
        <v>142</v>
      </c>
      <c r="C79" t="s">
        <v>17</v>
      </c>
      <c r="D79" t="s">
        <v>18</v>
      </c>
      <c r="E79" t="s">
        <v>41</v>
      </c>
      <c r="F79" t="s">
        <v>42</v>
      </c>
      <c r="G79" t="s">
        <v>23</v>
      </c>
      <c r="H79">
        <v>2015</v>
      </c>
      <c r="I79">
        <v>12394.6</v>
      </c>
      <c r="J79">
        <v>4419.3999999999996</v>
      </c>
      <c r="K79" s="1">
        <v>0.35659999999999997</v>
      </c>
      <c r="L79">
        <v>7981.5</v>
      </c>
      <c r="M79" s="1">
        <v>0.64390000000000003</v>
      </c>
      <c r="N79">
        <v>1528.1</v>
      </c>
      <c r="O79" s="1">
        <v>0.12330000000000001</v>
      </c>
      <c r="P79">
        <v>10866.5</v>
      </c>
      <c r="Q79" s="1">
        <v>0.87670000000000003</v>
      </c>
      <c r="R7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79" s="2">
        <f>Tabela_base[[#This Row],[Total Streams (in millions)]]-(Tabela_base[[#This Row],[Lead Streams (in millions)]]+Tabela_base[[#This Row],[Feature Streams (in millions)]])</f>
        <v>-6.2999999999992724</v>
      </c>
    </row>
    <row r="80" spans="1:19" x14ac:dyDescent="0.3">
      <c r="A80" s="20">
        <v>79</v>
      </c>
      <c r="B80" t="s">
        <v>143</v>
      </c>
      <c r="C80" t="s">
        <v>17</v>
      </c>
      <c r="D80" t="s">
        <v>18</v>
      </c>
      <c r="E80" t="s">
        <v>19</v>
      </c>
      <c r="F80" t="s">
        <v>33</v>
      </c>
      <c r="G80" t="s">
        <v>23</v>
      </c>
      <c r="H80">
        <v>2011</v>
      </c>
      <c r="I80">
        <v>13890.6</v>
      </c>
      <c r="J80">
        <v>13739.5</v>
      </c>
      <c r="K80" s="1">
        <v>0.98909999999999998</v>
      </c>
      <c r="L80">
        <v>155.6</v>
      </c>
      <c r="M80" s="1">
        <v>1.12E-2</v>
      </c>
      <c r="N80">
        <v>8915.5</v>
      </c>
      <c r="O80" s="1">
        <v>0.64180000000000004</v>
      </c>
      <c r="P80">
        <v>4975.1000000000004</v>
      </c>
      <c r="Q80" s="1">
        <v>0.35820000000000002</v>
      </c>
      <c r="R8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80" s="2">
        <f>Tabela_base[[#This Row],[Total Streams (in millions)]]-(Tabela_base[[#This Row],[Lead Streams (in millions)]]+Tabela_base[[#This Row],[Feature Streams (in millions)]])</f>
        <v>-4.5</v>
      </c>
    </row>
    <row r="81" spans="1:19" x14ac:dyDescent="0.3">
      <c r="A81" s="20">
        <v>80</v>
      </c>
      <c r="B81" t="s">
        <v>144</v>
      </c>
      <c r="C81" t="s">
        <v>17</v>
      </c>
      <c r="D81" t="s">
        <v>18</v>
      </c>
      <c r="E81" t="s">
        <v>41</v>
      </c>
      <c r="F81" t="s">
        <v>42</v>
      </c>
      <c r="G81" t="s">
        <v>23</v>
      </c>
      <c r="H81">
        <v>2014</v>
      </c>
      <c r="I81">
        <v>7785.3</v>
      </c>
      <c r="J81">
        <v>2720.2</v>
      </c>
      <c r="K81" s="1">
        <v>0.34939999999999999</v>
      </c>
      <c r="L81">
        <v>5065.1000000000004</v>
      </c>
      <c r="M81" s="1">
        <v>0.65059999999999996</v>
      </c>
      <c r="N81">
        <v>69.3</v>
      </c>
      <c r="O81" s="1">
        <v>8.8999999999999999E-3</v>
      </c>
      <c r="P81">
        <v>7716</v>
      </c>
      <c r="Q81" s="1">
        <v>0.99109999999999998</v>
      </c>
      <c r="R8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81" s="2">
        <f>Tabela_base[[#This Row],[Total Streams (in millions)]]-(Tabela_base[[#This Row],[Lead Streams (in millions)]]+Tabela_base[[#This Row],[Feature Streams (in millions)]])</f>
        <v>0</v>
      </c>
    </row>
    <row r="82" spans="1:19" x14ac:dyDescent="0.3">
      <c r="A82" s="20">
        <v>81</v>
      </c>
      <c r="B82" t="s">
        <v>145</v>
      </c>
      <c r="C82" t="s">
        <v>17</v>
      </c>
      <c r="D82" t="s">
        <v>124</v>
      </c>
      <c r="E82" t="s">
        <v>125</v>
      </c>
      <c r="F82" t="s">
        <v>126</v>
      </c>
      <c r="G82" t="s">
        <v>21</v>
      </c>
      <c r="H82">
        <v>2013</v>
      </c>
      <c r="I82">
        <v>53308.9</v>
      </c>
      <c r="J82">
        <v>47969.9</v>
      </c>
      <c r="K82" s="1">
        <v>0.89980000000000004</v>
      </c>
      <c r="L82">
        <v>5339</v>
      </c>
      <c r="M82" s="1">
        <v>0.1002</v>
      </c>
      <c r="N82">
        <v>44114.400000000001</v>
      </c>
      <c r="O82" s="1">
        <v>0.82750000000000001</v>
      </c>
      <c r="P82">
        <v>9194.5</v>
      </c>
      <c r="Q82" s="1">
        <v>0.17249999999999999</v>
      </c>
      <c r="R8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82" s="2">
        <f>Tabela_base[[#This Row],[Total Streams (in millions)]]-(Tabela_base[[#This Row],[Lead Streams (in millions)]]+Tabela_base[[#This Row],[Feature Streams (in millions)]])</f>
        <v>0</v>
      </c>
    </row>
    <row r="83" spans="1:19" x14ac:dyDescent="0.3">
      <c r="A83" s="20">
        <v>82</v>
      </c>
      <c r="B83" t="s">
        <v>146</v>
      </c>
      <c r="C83" t="s">
        <v>17</v>
      </c>
      <c r="D83" t="s">
        <v>147</v>
      </c>
      <c r="E83" t="s">
        <v>19</v>
      </c>
      <c r="F83" t="s">
        <v>148</v>
      </c>
      <c r="G83" t="s">
        <v>23</v>
      </c>
      <c r="H83">
        <v>2012</v>
      </c>
      <c r="I83">
        <v>10290.6</v>
      </c>
      <c r="J83">
        <v>2289.1999999999998</v>
      </c>
      <c r="K83" s="1">
        <v>0.2225</v>
      </c>
      <c r="L83">
        <v>8003.8</v>
      </c>
      <c r="M83" s="1">
        <v>0.77780000000000005</v>
      </c>
      <c r="N83">
        <v>4395.8</v>
      </c>
      <c r="O83" s="1">
        <v>0.42720000000000002</v>
      </c>
      <c r="P83">
        <v>5894.8</v>
      </c>
      <c r="Q83" s="1">
        <v>0.57279999999999998</v>
      </c>
      <c r="R8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83" s="2">
        <f>Tabela_base[[#This Row],[Total Streams (in millions)]]-(Tabela_base[[#This Row],[Lead Streams (in millions)]]+Tabela_base[[#This Row],[Feature Streams (in millions)]])</f>
        <v>-2.3999999999996362</v>
      </c>
    </row>
    <row r="84" spans="1:19" x14ac:dyDescent="0.3">
      <c r="A84" s="20">
        <v>83</v>
      </c>
      <c r="B84" t="s">
        <v>149</v>
      </c>
      <c r="C84" t="s">
        <v>49</v>
      </c>
      <c r="D84" t="s">
        <v>62</v>
      </c>
      <c r="E84" t="s">
        <v>150</v>
      </c>
      <c r="F84" t="s">
        <v>46</v>
      </c>
      <c r="G84" t="s">
        <v>23</v>
      </c>
      <c r="H84">
        <v>1981</v>
      </c>
      <c r="I84">
        <v>7543.1</v>
      </c>
      <c r="J84">
        <v>7093.1</v>
      </c>
      <c r="K84" s="1">
        <v>0.94030000000000002</v>
      </c>
      <c r="L84">
        <v>450</v>
      </c>
      <c r="M84" s="1">
        <v>5.9700000000000003E-2</v>
      </c>
      <c r="N84">
        <v>6268.7</v>
      </c>
      <c r="O84" s="1">
        <v>0.83109999999999995</v>
      </c>
      <c r="P84">
        <v>1274.4000000000001</v>
      </c>
      <c r="Q84" s="1">
        <v>0.16889999999999999</v>
      </c>
      <c r="R8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84" s="2">
        <f>Tabela_base[[#This Row],[Total Streams (in millions)]]-(Tabela_base[[#This Row],[Lead Streams (in millions)]]+Tabela_base[[#This Row],[Feature Streams (in millions)]])</f>
        <v>0</v>
      </c>
    </row>
    <row r="85" spans="1:19" x14ac:dyDescent="0.3">
      <c r="A85" s="20">
        <v>84</v>
      </c>
      <c r="B85" t="s">
        <v>151</v>
      </c>
      <c r="C85" t="s">
        <v>17</v>
      </c>
      <c r="D85" t="s">
        <v>57</v>
      </c>
      <c r="E85" t="s">
        <v>41</v>
      </c>
      <c r="F85" t="s">
        <v>65</v>
      </c>
      <c r="G85" t="s">
        <v>21</v>
      </c>
      <c r="H85">
        <v>2010</v>
      </c>
      <c r="I85">
        <v>8433.7999999999993</v>
      </c>
      <c r="J85">
        <v>7838.5</v>
      </c>
      <c r="K85" s="1">
        <v>0.9294</v>
      </c>
      <c r="L85">
        <v>603.29999999999995</v>
      </c>
      <c r="M85" s="1">
        <v>7.1499999999999994E-2</v>
      </c>
      <c r="N85">
        <v>7244.3</v>
      </c>
      <c r="O85" s="1">
        <v>0.85899999999999999</v>
      </c>
      <c r="P85">
        <v>1189.5</v>
      </c>
      <c r="Q85" s="1">
        <v>0.14099999999999999</v>
      </c>
      <c r="R8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85" s="2">
        <f>Tabela_base[[#This Row],[Total Streams (in millions)]]-(Tabela_base[[#This Row],[Lead Streams (in millions)]]+Tabela_base[[#This Row],[Feature Streams (in millions)]])</f>
        <v>-8</v>
      </c>
    </row>
    <row r="86" spans="1:19" x14ac:dyDescent="0.3">
      <c r="A86" s="20">
        <v>85</v>
      </c>
      <c r="B86" t="s">
        <v>152</v>
      </c>
      <c r="C86" t="s">
        <v>17</v>
      </c>
      <c r="D86" t="s">
        <v>25</v>
      </c>
      <c r="E86" t="s">
        <v>19</v>
      </c>
      <c r="F86" t="s">
        <v>46</v>
      </c>
      <c r="G86" t="s">
        <v>23</v>
      </c>
      <c r="H86">
        <v>2016</v>
      </c>
      <c r="I86">
        <v>7192.6</v>
      </c>
      <c r="J86">
        <v>4689.2</v>
      </c>
      <c r="K86" s="1">
        <v>0.65190000000000003</v>
      </c>
      <c r="L86">
        <v>2505.3000000000002</v>
      </c>
      <c r="M86" s="1">
        <v>0.3483</v>
      </c>
      <c r="N86">
        <v>3982.2</v>
      </c>
      <c r="O86" s="1">
        <v>0.55369999999999997</v>
      </c>
      <c r="P86">
        <v>3210.4</v>
      </c>
      <c r="Q86" s="1">
        <v>0.44629999999999997</v>
      </c>
      <c r="R8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86" s="2">
        <f>Tabela_base[[#This Row],[Total Streams (in millions)]]-(Tabela_base[[#This Row],[Lead Streams (in millions)]]+Tabela_base[[#This Row],[Feature Streams (in millions)]])</f>
        <v>-1.8999999999996362</v>
      </c>
    </row>
    <row r="87" spans="1:19" x14ac:dyDescent="0.3">
      <c r="A87" s="20">
        <v>86</v>
      </c>
      <c r="B87" t="s">
        <v>153</v>
      </c>
      <c r="C87" t="s">
        <v>17</v>
      </c>
      <c r="D87" t="s">
        <v>154</v>
      </c>
      <c r="E87" t="s">
        <v>19</v>
      </c>
      <c r="F87" t="s">
        <v>55</v>
      </c>
      <c r="G87" t="s">
        <v>23</v>
      </c>
      <c r="H87">
        <v>2007</v>
      </c>
      <c r="I87">
        <v>34129.699999999997</v>
      </c>
      <c r="J87">
        <v>31846</v>
      </c>
      <c r="K87" s="1">
        <v>0.93310000000000004</v>
      </c>
      <c r="L87">
        <v>2298.3000000000002</v>
      </c>
      <c r="M87" s="1">
        <v>6.7299999999999999E-2</v>
      </c>
      <c r="N87">
        <v>5998.8</v>
      </c>
      <c r="O87" s="1">
        <v>0.17580000000000001</v>
      </c>
      <c r="P87">
        <v>28130.9</v>
      </c>
      <c r="Q87" s="1">
        <v>0.82420000000000004</v>
      </c>
      <c r="R8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87" s="2">
        <f>Tabela_base[[#This Row],[Total Streams (in millions)]]-(Tabela_base[[#This Row],[Lead Streams (in millions)]]+Tabela_base[[#This Row],[Feature Streams (in millions)]])</f>
        <v>-14.600000000005821</v>
      </c>
    </row>
    <row r="88" spans="1:19" x14ac:dyDescent="0.3">
      <c r="A88" s="20">
        <v>87</v>
      </c>
      <c r="B88" t="s">
        <v>155</v>
      </c>
      <c r="C88" t="s">
        <v>49</v>
      </c>
      <c r="D88" t="s">
        <v>156</v>
      </c>
      <c r="E88" t="s">
        <v>19</v>
      </c>
      <c r="F88" t="s">
        <v>46</v>
      </c>
      <c r="G88" t="s">
        <v>23</v>
      </c>
      <c r="H88">
        <v>2012</v>
      </c>
      <c r="I88">
        <v>21546.2</v>
      </c>
      <c r="J88">
        <v>12365.6</v>
      </c>
      <c r="K88" s="1">
        <v>0.57389999999999997</v>
      </c>
      <c r="L88">
        <v>9186</v>
      </c>
      <c r="M88" s="1">
        <v>0.42630000000000001</v>
      </c>
      <c r="N88">
        <v>6409.3</v>
      </c>
      <c r="O88" s="1">
        <v>0.29749999999999999</v>
      </c>
      <c r="P88">
        <v>15136.9</v>
      </c>
      <c r="Q88" s="1">
        <v>0.70250000000000001</v>
      </c>
      <c r="R8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88" s="2">
        <f>Tabela_base[[#This Row],[Total Streams (in millions)]]-(Tabela_base[[#This Row],[Lead Streams (in millions)]]+Tabela_base[[#This Row],[Feature Streams (in millions)]])</f>
        <v>-5.3999999999978172</v>
      </c>
    </row>
    <row r="89" spans="1:19" x14ac:dyDescent="0.3">
      <c r="A89" s="20">
        <v>88</v>
      </c>
      <c r="B89" t="s">
        <v>157</v>
      </c>
      <c r="C89" t="s">
        <v>17</v>
      </c>
      <c r="D89" t="s">
        <v>103</v>
      </c>
      <c r="E89" t="s">
        <v>41</v>
      </c>
      <c r="F89" t="s">
        <v>46</v>
      </c>
      <c r="G89" t="s">
        <v>23</v>
      </c>
      <c r="H89">
        <v>2007</v>
      </c>
      <c r="I89">
        <v>13994.1</v>
      </c>
      <c r="J89">
        <v>8290.1</v>
      </c>
      <c r="K89" s="1">
        <v>0.59240000000000004</v>
      </c>
      <c r="L89">
        <v>5703.9</v>
      </c>
      <c r="M89" s="1">
        <v>0.40760000000000002</v>
      </c>
      <c r="N89">
        <v>3475.3</v>
      </c>
      <c r="O89" s="1">
        <v>0.24829999999999999</v>
      </c>
      <c r="P89">
        <v>10518.8</v>
      </c>
      <c r="Q89" s="1">
        <v>0.75170000000000003</v>
      </c>
      <c r="R8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89" s="2">
        <f>Tabela_base[[#This Row],[Total Streams (in millions)]]-(Tabela_base[[#This Row],[Lead Streams (in millions)]]+Tabela_base[[#This Row],[Feature Streams (in millions)]])</f>
        <v>0.1000000000003638</v>
      </c>
    </row>
    <row r="90" spans="1:19" x14ac:dyDescent="0.3">
      <c r="A90" s="20">
        <v>89</v>
      </c>
      <c r="B90" t="s">
        <v>158</v>
      </c>
      <c r="C90" t="s">
        <v>17</v>
      </c>
      <c r="D90" t="s">
        <v>57</v>
      </c>
      <c r="E90" t="s">
        <v>41</v>
      </c>
      <c r="F90" t="s">
        <v>65</v>
      </c>
      <c r="G90" t="s">
        <v>23</v>
      </c>
      <c r="H90">
        <v>2010</v>
      </c>
      <c r="I90">
        <v>16969.400000000001</v>
      </c>
      <c r="J90">
        <v>10480.799999999999</v>
      </c>
      <c r="K90" s="1">
        <v>0.61760000000000004</v>
      </c>
      <c r="L90">
        <v>6497.7</v>
      </c>
      <c r="M90" s="1">
        <v>0.38290000000000002</v>
      </c>
      <c r="N90">
        <v>7429.1</v>
      </c>
      <c r="O90" s="1">
        <v>0.43780000000000002</v>
      </c>
      <c r="P90">
        <v>9540.2999999999993</v>
      </c>
      <c r="Q90" s="1">
        <v>0.56220000000000003</v>
      </c>
      <c r="R9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90" s="2">
        <f>Tabela_base[[#This Row],[Total Streams (in millions)]]-(Tabela_base[[#This Row],[Lead Streams (in millions)]]+Tabela_base[[#This Row],[Feature Streams (in millions)]])</f>
        <v>-9.0999999999985448</v>
      </c>
    </row>
    <row r="91" spans="1:19" x14ac:dyDescent="0.3">
      <c r="A91" s="20">
        <v>90</v>
      </c>
      <c r="B91" t="s">
        <v>159</v>
      </c>
      <c r="C91" t="s">
        <v>49</v>
      </c>
      <c r="D91" t="s">
        <v>18</v>
      </c>
      <c r="E91" t="s">
        <v>19</v>
      </c>
      <c r="F91" t="s">
        <v>20</v>
      </c>
      <c r="G91" t="s">
        <v>23</v>
      </c>
      <c r="H91">
        <v>2015</v>
      </c>
      <c r="I91">
        <v>22494.9</v>
      </c>
      <c r="J91">
        <v>10833.6</v>
      </c>
      <c r="K91" s="1">
        <v>0.48159999999999997</v>
      </c>
      <c r="L91">
        <v>11666.6</v>
      </c>
      <c r="M91" s="1">
        <v>0.51859999999999995</v>
      </c>
      <c r="N91">
        <v>4407.8</v>
      </c>
      <c r="O91" s="1">
        <v>0.19589999999999999</v>
      </c>
      <c r="P91">
        <v>18087.099999999999</v>
      </c>
      <c r="Q91" s="1">
        <v>0.80410000000000004</v>
      </c>
      <c r="R9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91" s="2">
        <f>Tabela_base[[#This Row],[Total Streams (in millions)]]-(Tabela_base[[#This Row],[Lead Streams (in millions)]]+Tabela_base[[#This Row],[Feature Streams (in millions)]])</f>
        <v>-5.2999999999992724</v>
      </c>
    </row>
    <row r="92" spans="1:19" x14ac:dyDescent="0.3">
      <c r="A92" s="20">
        <v>91</v>
      </c>
      <c r="B92" t="s">
        <v>160</v>
      </c>
      <c r="C92" t="s">
        <v>17</v>
      </c>
      <c r="D92" t="s">
        <v>57</v>
      </c>
      <c r="E92" t="s">
        <v>41</v>
      </c>
      <c r="F92" t="s">
        <v>20</v>
      </c>
      <c r="G92" t="s">
        <v>21</v>
      </c>
      <c r="H92">
        <v>2002</v>
      </c>
      <c r="I92">
        <v>9107.5</v>
      </c>
      <c r="J92">
        <v>8630.9</v>
      </c>
      <c r="K92" s="1">
        <v>0.94769999999999999</v>
      </c>
      <c r="L92">
        <v>487.3</v>
      </c>
      <c r="M92" s="1">
        <v>5.3499999999999999E-2</v>
      </c>
      <c r="N92">
        <v>5817.4</v>
      </c>
      <c r="O92" s="1">
        <v>0.63870000000000005</v>
      </c>
      <c r="P92">
        <v>3290.1</v>
      </c>
      <c r="Q92" s="1">
        <v>0.36130000000000001</v>
      </c>
      <c r="R9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92" s="2">
        <f>Tabela_base[[#This Row],[Total Streams (in millions)]]-(Tabela_base[[#This Row],[Lead Streams (in millions)]]+Tabela_base[[#This Row],[Feature Streams (in millions)]])</f>
        <v>-10.699999999998909</v>
      </c>
    </row>
    <row r="93" spans="1:19" x14ac:dyDescent="0.3">
      <c r="A93" s="20">
        <v>92</v>
      </c>
      <c r="B93" t="s">
        <v>161</v>
      </c>
      <c r="C93" t="s">
        <v>17</v>
      </c>
      <c r="D93" t="s">
        <v>25</v>
      </c>
      <c r="E93" t="s">
        <v>19</v>
      </c>
      <c r="F93" t="s">
        <v>20</v>
      </c>
      <c r="G93" t="s">
        <v>23</v>
      </c>
      <c r="H93">
        <v>2014</v>
      </c>
      <c r="I93">
        <v>10095.5</v>
      </c>
      <c r="J93">
        <v>6587</v>
      </c>
      <c r="K93" s="1">
        <v>0.65249999999999997</v>
      </c>
      <c r="L93">
        <v>3508.5</v>
      </c>
      <c r="M93" s="1">
        <v>0.34749999999999998</v>
      </c>
      <c r="N93">
        <v>5050.8999999999996</v>
      </c>
      <c r="O93" s="1">
        <v>0.50029999999999997</v>
      </c>
      <c r="P93">
        <v>5044.6000000000004</v>
      </c>
      <c r="Q93" s="1">
        <v>0.49969999999999998</v>
      </c>
      <c r="R9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93" s="2">
        <f>Tabela_base[[#This Row],[Total Streams (in millions)]]-(Tabela_base[[#This Row],[Lead Streams (in millions)]]+Tabela_base[[#This Row],[Feature Streams (in millions)]])</f>
        <v>0</v>
      </c>
    </row>
    <row r="94" spans="1:19" x14ac:dyDescent="0.3">
      <c r="A94" s="20">
        <v>93</v>
      </c>
      <c r="B94" t="s">
        <v>162</v>
      </c>
      <c r="C94" t="s">
        <v>17</v>
      </c>
      <c r="D94" t="s">
        <v>18</v>
      </c>
      <c r="E94" t="s">
        <v>19</v>
      </c>
      <c r="F94" t="s">
        <v>20</v>
      </c>
      <c r="G94" t="s">
        <v>23</v>
      </c>
      <c r="H94">
        <v>2012</v>
      </c>
      <c r="I94">
        <v>11475.1</v>
      </c>
      <c r="J94">
        <v>3956.3</v>
      </c>
      <c r="K94" s="1">
        <v>0.3448</v>
      </c>
      <c r="L94">
        <v>7518.7</v>
      </c>
      <c r="M94" s="1">
        <v>0.6552</v>
      </c>
      <c r="N94">
        <v>545.70000000000005</v>
      </c>
      <c r="O94" s="1">
        <v>4.7600000000000003E-2</v>
      </c>
      <c r="P94">
        <v>10929.4</v>
      </c>
      <c r="Q94" s="1">
        <v>0.95240000000000002</v>
      </c>
      <c r="R9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94" s="2">
        <f>Tabela_base[[#This Row],[Total Streams (in millions)]]-(Tabela_base[[#This Row],[Lead Streams (in millions)]]+Tabela_base[[#This Row],[Feature Streams (in millions)]])</f>
        <v>0.1000000000003638</v>
      </c>
    </row>
    <row r="95" spans="1:19" x14ac:dyDescent="0.3">
      <c r="A95" s="20">
        <v>94</v>
      </c>
      <c r="B95" t="s">
        <v>163</v>
      </c>
      <c r="C95" t="s">
        <v>49</v>
      </c>
      <c r="D95" t="s">
        <v>18</v>
      </c>
      <c r="E95" t="s">
        <v>19</v>
      </c>
      <c r="F95" t="s">
        <v>46</v>
      </c>
      <c r="G95" t="s">
        <v>23</v>
      </c>
      <c r="H95">
        <v>2017</v>
      </c>
      <c r="I95">
        <v>8382.9</v>
      </c>
      <c r="J95">
        <v>8387.7999999999993</v>
      </c>
      <c r="K95" s="1">
        <v>1.0005999999999999</v>
      </c>
      <c r="L95">
        <v>0</v>
      </c>
      <c r="M95" s="1">
        <v>0</v>
      </c>
      <c r="N95">
        <v>8380.2999999999993</v>
      </c>
      <c r="O95" s="1">
        <v>0.99970000000000003</v>
      </c>
      <c r="P95">
        <v>2.6</v>
      </c>
      <c r="Q95" s="1">
        <v>2.9999999999999997E-4</v>
      </c>
      <c r="R9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95" s="2">
        <f>Tabela_base[[#This Row],[Total Streams (in millions)]]-(Tabela_base[[#This Row],[Lead Streams (in millions)]]+Tabela_base[[#This Row],[Feature Streams (in millions)]])</f>
        <v>-4.8999999999996362</v>
      </c>
    </row>
    <row r="96" spans="1:19" x14ac:dyDescent="0.3">
      <c r="A96" s="20">
        <v>95</v>
      </c>
      <c r="B96" t="s">
        <v>164</v>
      </c>
      <c r="C96" t="s">
        <v>49</v>
      </c>
      <c r="D96" t="s">
        <v>25</v>
      </c>
      <c r="E96" t="s">
        <v>19</v>
      </c>
      <c r="F96" t="s">
        <v>46</v>
      </c>
      <c r="G96" t="s">
        <v>23</v>
      </c>
      <c r="H96">
        <v>2008</v>
      </c>
      <c r="I96">
        <v>14544.4</v>
      </c>
      <c r="J96">
        <v>10175.299999999999</v>
      </c>
      <c r="K96" s="1">
        <v>0.6996</v>
      </c>
      <c r="L96">
        <v>4376</v>
      </c>
      <c r="M96" s="1">
        <v>0.3009</v>
      </c>
      <c r="N96">
        <v>6747.8</v>
      </c>
      <c r="O96" s="1">
        <v>0.46389999999999998</v>
      </c>
      <c r="P96">
        <v>7796.6</v>
      </c>
      <c r="Q96" s="1">
        <v>0.53610000000000002</v>
      </c>
      <c r="R9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96" s="2">
        <f>Tabela_base[[#This Row],[Total Streams (in millions)]]-(Tabela_base[[#This Row],[Lead Streams (in millions)]]+Tabela_base[[#This Row],[Feature Streams (in millions)]])</f>
        <v>-6.8999999999996362</v>
      </c>
    </row>
    <row r="97" spans="1:19" x14ac:dyDescent="0.3">
      <c r="A97" s="20">
        <v>96</v>
      </c>
      <c r="B97" t="s">
        <v>165</v>
      </c>
      <c r="C97" t="s">
        <v>17</v>
      </c>
      <c r="D97" t="s">
        <v>18</v>
      </c>
      <c r="E97" t="s">
        <v>19</v>
      </c>
      <c r="F97" t="s">
        <v>46</v>
      </c>
      <c r="G97" t="s">
        <v>23</v>
      </c>
      <c r="H97">
        <v>2015</v>
      </c>
      <c r="I97">
        <v>18309.3</v>
      </c>
      <c r="J97">
        <v>14642.3</v>
      </c>
      <c r="K97" s="1">
        <v>0.79969999999999997</v>
      </c>
      <c r="L97">
        <v>3673.3</v>
      </c>
      <c r="M97" s="1">
        <v>0.2006</v>
      </c>
      <c r="N97">
        <v>8613.7000000000007</v>
      </c>
      <c r="O97" s="1">
        <v>0.47049999999999997</v>
      </c>
      <c r="P97">
        <v>9695.6</v>
      </c>
      <c r="Q97" s="1">
        <v>0.52949999999999997</v>
      </c>
      <c r="R9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97" s="2">
        <f>Tabela_base[[#This Row],[Total Streams (in millions)]]-(Tabela_base[[#This Row],[Lead Streams (in millions)]]+Tabela_base[[#This Row],[Feature Streams (in millions)]])</f>
        <v>-6.2999999999992724</v>
      </c>
    </row>
    <row r="98" spans="1:19" x14ac:dyDescent="0.3">
      <c r="A98" s="20">
        <v>97</v>
      </c>
      <c r="B98" t="s">
        <v>166</v>
      </c>
      <c r="C98" t="s">
        <v>17</v>
      </c>
      <c r="D98" t="s">
        <v>28</v>
      </c>
      <c r="E98" t="s">
        <v>19</v>
      </c>
      <c r="F98" t="s">
        <v>33</v>
      </c>
      <c r="G98" t="s">
        <v>21</v>
      </c>
      <c r="H98">
        <v>2014</v>
      </c>
      <c r="I98">
        <v>9513</v>
      </c>
      <c r="J98">
        <v>9329.2999999999993</v>
      </c>
      <c r="K98" s="1">
        <v>0.98070000000000002</v>
      </c>
      <c r="L98">
        <v>185.8</v>
      </c>
      <c r="M98" s="1">
        <v>1.95E-2</v>
      </c>
      <c r="N98">
        <v>8793</v>
      </c>
      <c r="O98" s="1">
        <v>0.92430000000000001</v>
      </c>
      <c r="P98">
        <v>720</v>
      </c>
      <c r="Q98" s="1">
        <v>7.5700000000000003E-2</v>
      </c>
      <c r="R9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98" s="2">
        <f>Tabela_base[[#This Row],[Total Streams (in millions)]]-(Tabela_base[[#This Row],[Lead Streams (in millions)]]+Tabela_base[[#This Row],[Feature Streams (in millions)]])</f>
        <v>-2.0999999999985448</v>
      </c>
    </row>
    <row r="99" spans="1:19" x14ac:dyDescent="0.3">
      <c r="A99" s="20">
        <v>98</v>
      </c>
      <c r="B99" t="s">
        <v>167</v>
      </c>
      <c r="C99" t="s">
        <v>17</v>
      </c>
      <c r="D99" t="s">
        <v>18</v>
      </c>
      <c r="E99" t="s">
        <v>41</v>
      </c>
      <c r="F99" t="s">
        <v>42</v>
      </c>
      <c r="G99" t="s">
        <v>23</v>
      </c>
      <c r="H99">
        <v>1999</v>
      </c>
      <c r="I99">
        <v>10776.2</v>
      </c>
      <c r="J99">
        <v>10712.5</v>
      </c>
      <c r="K99" s="1">
        <v>0.99409999999999998</v>
      </c>
      <c r="L99">
        <v>63.9</v>
      </c>
      <c r="M99" s="1">
        <v>5.8999999999999999E-3</v>
      </c>
      <c r="N99">
        <v>291.89999999999998</v>
      </c>
      <c r="O99" s="1">
        <v>2.7099999999999999E-2</v>
      </c>
      <c r="P99">
        <v>10484.299999999999</v>
      </c>
      <c r="Q99" s="1">
        <v>0.97289999999999999</v>
      </c>
      <c r="R9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99" s="2">
        <f>Tabela_base[[#This Row],[Total Streams (in millions)]]-(Tabela_base[[#This Row],[Lead Streams (in millions)]]+Tabela_base[[#This Row],[Feature Streams (in millions)]])</f>
        <v>-0.19999999999890861</v>
      </c>
    </row>
    <row r="100" spans="1:19" x14ac:dyDescent="0.3">
      <c r="A100" s="20">
        <v>99</v>
      </c>
      <c r="B100" t="s">
        <v>168</v>
      </c>
      <c r="C100" t="s">
        <v>17</v>
      </c>
      <c r="D100" t="s">
        <v>18</v>
      </c>
      <c r="E100" t="s">
        <v>19</v>
      </c>
      <c r="F100" t="s">
        <v>20</v>
      </c>
      <c r="G100" t="s">
        <v>23</v>
      </c>
      <c r="H100">
        <v>2008</v>
      </c>
      <c r="I100">
        <v>13281.8</v>
      </c>
      <c r="J100">
        <v>12309.2</v>
      </c>
      <c r="K100" s="1">
        <v>0.92679999999999996</v>
      </c>
      <c r="L100">
        <v>978.1</v>
      </c>
      <c r="M100" s="1">
        <v>7.3599999999999999E-2</v>
      </c>
      <c r="N100">
        <v>11171.3</v>
      </c>
      <c r="O100" s="1">
        <v>0.84109999999999996</v>
      </c>
      <c r="P100">
        <v>2110.5</v>
      </c>
      <c r="Q100" s="1">
        <v>0.15890000000000001</v>
      </c>
      <c r="R10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00" s="2">
        <f>Tabela_base[[#This Row],[Total Streams (in millions)]]-(Tabela_base[[#This Row],[Lead Streams (in millions)]]+Tabela_base[[#This Row],[Feature Streams (in millions)]])</f>
        <v>-5.500000000001819</v>
      </c>
    </row>
    <row r="101" spans="1:19" x14ac:dyDescent="0.3">
      <c r="A101" s="20">
        <v>100</v>
      </c>
      <c r="B101" t="s">
        <v>169</v>
      </c>
      <c r="C101" t="s">
        <v>17</v>
      </c>
      <c r="D101" t="s">
        <v>18</v>
      </c>
      <c r="E101" t="s">
        <v>19</v>
      </c>
      <c r="F101" t="s">
        <v>33</v>
      </c>
      <c r="G101" t="s">
        <v>23</v>
      </c>
      <c r="H101">
        <v>2005</v>
      </c>
      <c r="I101">
        <v>43963.8</v>
      </c>
      <c r="J101">
        <v>24455.7</v>
      </c>
      <c r="K101" s="1">
        <v>0.55630000000000002</v>
      </c>
      <c r="L101">
        <v>19523.900000000001</v>
      </c>
      <c r="M101" s="1">
        <v>0.44409999999999999</v>
      </c>
      <c r="N101">
        <v>12219.3</v>
      </c>
      <c r="O101" s="1">
        <v>0.27789999999999998</v>
      </c>
      <c r="P101">
        <v>31744.5</v>
      </c>
      <c r="Q101" s="1">
        <v>0.72209999999999996</v>
      </c>
      <c r="R10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01" s="2">
        <f>Tabela_base[[#This Row],[Total Streams (in millions)]]-(Tabela_base[[#This Row],[Lead Streams (in millions)]]+Tabela_base[[#This Row],[Feature Streams (in millions)]])</f>
        <v>-15.80000000000291</v>
      </c>
    </row>
    <row r="102" spans="1:19" x14ac:dyDescent="0.3">
      <c r="A102" s="20">
        <v>101</v>
      </c>
      <c r="B102" t="s">
        <v>170</v>
      </c>
      <c r="C102" t="s">
        <v>17</v>
      </c>
      <c r="D102" t="s">
        <v>18</v>
      </c>
      <c r="E102" t="s">
        <v>19</v>
      </c>
      <c r="F102" t="s">
        <v>171</v>
      </c>
      <c r="G102" t="s">
        <v>23</v>
      </c>
      <c r="H102">
        <v>2015</v>
      </c>
      <c r="I102">
        <v>11678.7</v>
      </c>
      <c r="J102">
        <v>9802.2000000000007</v>
      </c>
      <c r="K102" s="1">
        <v>0.83930000000000005</v>
      </c>
      <c r="L102">
        <v>1883.1</v>
      </c>
      <c r="M102" s="1">
        <v>0.16120000000000001</v>
      </c>
      <c r="N102">
        <v>9721.7999999999993</v>
      </c>
      <c r="O102" s="1">
        <v>0.83240000000000003</v>
      </c>
      <c r="P102">
        <v>1956.9</v>
      </c>
      <c r="Q102" s="1">
        <v>0.1676</v>
      </c>
      <c r="R10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02" s="2">
        <f>Tabela_base[[#This Row],[Total Streams (in millions)]]-(Tabela_base[[#This Row],[Lead Streams (in millions)]]+Tabela_base[[#This Row],[Feature Streams (in millions)]])</f>
        <v>-6.6000000000003638</v>
      </c>
    </row>
    <row r="103" spans="1:19" x14ac:dyDescent="0.3">
      <c r="A103" s="20">
        <v>102</v>
      </c>
      <c r="B103" t="s">
        <v>172</v>
      </c>
      <c r="C103" t="s">
        <v>17</v>
      </c>
      <c r="D103" t="s">
        <v>57</v>
      </c>
      <c r="E103" t="s">
        <v>41</v>
      </c>
      <c r="F103" t="s">
        <v>65</v>
      </c>
      <c r="G103" t="s">
        <v>23</v>
      </c>
      <c r="H103">
        <v>2016</v>
      </c>
      <c r="I103">
        <v>13503.4</v>
      </c>
      <c r="J103">
        <v>9602.2999999999993</v>
      </c>
      <c r="K103" s="1">
        <v>0.71109999999999995</v>
      </c>
      <c r="L103">
        <v>3932.5</v>
      </c>
      <c r="M103" s="1">
        <v>0.29120000000000001</v>
      </c>
      <c r="N103">
        <v>8044.7</v>
      </c>
      <c r="O103" s="1">
        <v>0.5958</v>
      </c>
      <c r="P103">
        <v>5458.7</v>
      </c>
      <c r="Q103" s="1">
        <v>0.4042</v>
      </c>
      <c r="R10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03" s="2">
        <f>Tabela_base[[#This Row],[Total Streams (in millions)]]-(Tabela_base[[#This Row],[Lead Streams (in millions)]]+Tabela_base[[#This Row],[Feature Streams (in millions)]])</f>
        <v>-31.399999999999636</v>
      </c>
    </row>
    <row r="104" spans="1:19" x14ac:dyDescent="0.3">
      <c r="A104" s="20">
        <v>103</v>
      </c>
      <c r="B104" t="s">
        <v>173</v>
      </c>
      <c r="C104" t="s">
        <v>49</v>
      </c>
      <c r="D104" t="s">
        <v>18</v>
      </c>
      <c r="E104" t="s">
        <v>19</v>
      </c>
      <c r="F104" t="s">
        <v>46</v>
      </c>
      <c r="G104" t="s">
        <v>23</v>
      </c>
      <c r="H104">
        <v>1999</v>
      </c>
      <c r="I104">
        <v>11060.5</v>
      </c>
      <c r="J104">
        <v>6055.9</v>
      </c>
      <c r="K104" s="1">
        <v>0.54749999999999999</v>
      </c>
      <c r="L104">
        <v>5004.6000000000004</v>
      </c>
      <c r="M104" s="1">
        <v>0.45250000000000001</v>
      </c>
      <c r="N104">
        <v>4661.1000000000004</v>
      </c>
      <c r="O104" s="1">
        <v>0.4214</v>
      </c>
      <c r="P104">
        <v>6399.4</v>
      </c>
      <c r="Q104" s="1">
        <v>0.5786</v>
      </c>
      <c r="R10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04" s="2">
        <f>Tabela_base[[#This Row],[Total Streams (in millions)]]-(Tabela_base[[#This Row],[Lead Streams (in millions)]]+Tabela_base[[#This Row],[Feature Streams (in millions)]])</f>
        <v>0</v>
      </c>
    </row>
    <row r="105" spans="1:19" x14ac:dyDescent="0.3">
      <c r="A105" s="20">
        <v>104</v>
      </c>
      <c r="B105" t="s">
        <v>174</v>
      </c>
      <c r="C105" t="s">
        <v>44</v>
      </c>
      <c r="D105" t="s">
        <v>18</v>
      </c>
      <c r="E105" t="s">
        <v>19</v>
      </c>
      <c r="F105" t="s">
        <v>101</v>
      </c>
      <c r="G105" t="s">
        <v>21</v>
      </c>
      <c r="H105">
        <v>2008</v>
      </c>
      <c r="I105">
        <v>13287</v>
      </c>
      <c r="J105">
        <v>13294.9</v>
      </c>
      <c r="K105" s="1">
        <v>1.0005999999999999</v>
      </c>
      <c r="L105">
        <v>0</v>
      </c>
      <c r="M105" s="1">
        <v>0</v>
      </c>
      <c r="N105">
        <v>13287</v>
      </c>
      <c r="O105" s="1">
        <v>1</v>
      </c>
      <c r="P105">
        <v>0</v>
      </c>
      <c r="Q105" s="1">
        <v>0</v>
      </c>
      <c r="R10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105" s="2">
        <f>Tabela_base[[#This Row],[Total Streams (in millions)]]-(Tabela_base[[#This Row],[Lead Streams (in millions)]]+Tabela_base[[#This Row],[Feature Streams (in millions)]])</f>
        <v>-7.8999999999996362</v>
      </c>
    </row>
    <row r="106" spans="1:19" x14ac:dyDescent="0.3">
      <c r="A106" s="20">
        <v>105</v>
      </c>
      <c r="B106" t="s">
        <v>175</v>
      </c>
      <c r="C106" t="s">
        <v>49</v>
      </c>
      <c r="D106" t="s">
        <v>18</v>
      </c>
      <c r="E106" t="s">
        <v>19</v>
      </c>
      <c r="F106" t="s">
        <v>46</v>
      </c>
      <c r="G106" t="s">
        <v>23</v>
      </c>
      <c r="H106">
        <v>2012</v>
      </c>
      <c r="I106">
        <v>8831</v>
      </c>
      <c r="J106">
        <v>6995.1</v>
      </c>
      <c r="K106" s="1">
        <v>0.79210000000000003</v>
      </c>
      <c r="L106">
        <v>1840.3</v>
      </c>
      <c r="M106" s="1">
        <v>0.2084</v>
      </c>
      <c r="N106">
        <v>6603.2</v>
      </c>
      <c r="O106" s="1">
        <v>0.74770000000000003</v>
      </c>
      <c r="P106">
        <v>2227.8000000000002</v>
      </c>
      <c r="Q106" s="1">
        <v>0.25230000000000002</v>
      </c>
      <c r="R10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06" s="2">
        <f>Tabela_base[[#This Row],[Total Streams (in millions)]]-(Tabela_base[[#This Row],[Lead Streams (in millions)]]+Tabela_base[[#This Row],[Feature Streams (in millions)]])</f>
        <v>-4.3999999999996362</v>
      </c>
    </row>
    <row r="107" spans="1:19" x14ac:dyDescent="0.3">
      <c r="A107" s="20">
        <v>106</v>
      </c>
      <c r="B107" t="s">
        <v>176</v>
      </c>
      <c r="C107" t="s">
        <v>44</v>
      </c>
      <c r="D107" t="s">
        <v>25</v>
      </c>
      <c r="E107" t="s">
        <v>19</v>
      </c>
      <c r="F107" t="s">
        <v>46</v>
      </c>
      <c r="G107" t="s">
        <v>21</v>
      </c>
      <c r="H107">
        <v>2012</v>
      </c>
      <c r="I107">
        <v>10711.2</v>
      </c>
      <c r="J107">
        <v>10381.4</v>
      </c>
      <c r="K107" s="1">
        <v>0.96919999999999995</v>
      </c>
      <c r="L107">
        <v>333.5</v>
      </c>
      <c r="M107" s="1">
        <v>3.1099999999999999E-2</v>
      </c>
      <c r="N107">
        <v>73.400000000000006</v>
      </c>
      <c r="O107" s="1">
        <v>6.8999999999999999E-3</v>
      </c>
      <c r="P107">
        <v>10637.8</v>
      </c>
      <c r="Q107" s="1">
        <v>0.99309999999999998</v>
      </c>
      <c r="R10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07" s="2">
        <f>Tabela_base[[#This Row],[Total Streams (in millions)]]-(Tabela_base[[#This Row],[Lead Streams (in millions)]]+Tabela_base[[#This Row],[Feature Streams (in millions)]])</f>
        <v>-3.6999999999989086</v>
      </c>
    </row>
    <row r="108" spans="1:19" x14ac:dyDescent="0.3">
      <c r="A108" s="20">
        <v>107</v>
      </c>
      <c r="B108" t="s">
        <v>177</v>
      </c>
      <c r="C108" t="s">
        <v>17</v>
      </c>
      <c r="D108" t="s">
        <v>25</v>
      </c>
      <c r="E108" t="s">
        <v>19</v>
      </c>
      <c r="F108" t="s">
        <v>29</v>
      </c>
      <c r="G108" t="s">
        <v>21</v>
      </c>
      <c r="H108">
        <v>1999</v>
      </c>
      <c r="I108">
        <v>46720.4</v>
      </c>
      <c r="J108">
        <v>42837.1</v>
      </c>
      <c r="K108" s="1">
        <v>0.91690000000000005</v>
      </c>
      <c r="L108">
        <v>3901.3</v>
      </c>
      <c r="M108" s="1">
        <v>8.3500000000000005E-2</v>
      </c>
      <c r="N108">
        <v>38535.199999999997</v>
      </c>
      <c r="O108" s="1">
        <v>0.82479999999999998</v>
      </c>
      <c r="P108">
        <v>8185.2</v>
      </c>
      <c r="Q108" s="1">
        <v>0.17519999999999999</v>
      </c>
      <c r="R10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08" s="2">
        <f>Tabela_base[[#This Row],[Total Streams (in millions)]]-(Tabela_base[[#This Row],[Lead Streams (in millions)]]+Tabela_base[[#This Row],[Feature Streams (in millions)]])</f>
        <v>-18</v>
      </c>
    </row>
    <row r="109" spans="1:19" x14ac:dyDescent="0.3">
      <c r="A109" s="20">
        <v>108</v>
      </c>
      <c r="B109" t="s">
        <v>178</v>
      </c>
      <c r="C109" t="s">
        <v>17</v>
      </c>
      <c r="D109" t="s">
        <v>18</v>
      </c>
      <c r="E109" t="s">
        <v>19</v>
      </c>
      <c r="F109" t="s">
        <v>46</v>
      </c>
      <c r="G109" t="s">
        <v>23</v>
      </c>
      <c r="H109">
        <v>2017</v>
      </c>
      <c r="I109">
        <v>10313.5</v>
      </c>
      <c r="J109">
        <v>10145.1</v>
      </c>
      <c r="K109" s="1">
        <v>0.98370000000000002</v>
      </c>
      <c r="L109">
        <v>172</v>
      </c>
      <c r="M109" s="1">
        <v>1.67E-2</v>
      </c>
      <c r="N109">
        <v>10141.5</v>
      </c>
      <c r="O109" s="1">
        <v>0.98329999999999995</v>
      </c>
      <c r="P109">
        <v>172</v>
      </c>
      <c r="Q109" s="1">
        <v>1.67E-2</v>
      </c>
      <c r="R10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09" s="2">
        <f>Tabela_base[[#This Row],[Total Streams (in millions)]]-(Tabela_base[[#This Row],[Lead Streams (in millions)]]+Tabela_base[[#This Row],[Feature Streams (in millions)]])</f>
        <v>-3.6000000000003638</v>
      </c>
    </row>
    <row r="110" spans="1:19" x14ac:dyDescent="0.3">
      <c r="A110" s="20">
        <v>109</v>
      </c>
      <c r="B110" t="s">
        <v>179</v>
      </c>
      <c r="C110" t="s">
        <v>17</v>
      </c>
      <c r="D110" t="s">
        <v>18</v>
      </c>
      <c r="E110" t="s">
        <v>19</v>
      </c>
      <c r="F110" t="s">
        <v>29</v>
      </c>
      <c r="G110" t="s">
        <v>21</v>
      </c>
      <c r="H110">
        <v>1968</v>
      </c>
      <c r="I110">
        <v>11314.2</v>
      </c>
      <c r="J110">
        <v>11274.4</v>
      </c>
      <c r="K110" s="1">
        <v>0.99650000000000005</v>
      </c>
      <c r="L110">
        <v>44.7</v>
      </c>
      <c r="M110" s="1">
        <v>4.0000000000000001E-3</v>
      </c>
      <c r="N110">
        <v>11264.9</v>
      </c>
      <c r="O110" s="1">
        <v>0.99560000000000004</v>
      </c>
      <c r="P110">
        <v>49.3</v>
      </c>
      <c r="Q110" s="1">
        <v>4.4000000000000003E-3</v>
      </c>
      <c r="R11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10" s="2">
        <f>Tabela_base[[#This Row],[Total Streams (in millions)]]-(Tabela_base[[#This Row],[Lead Streams (in millions)]]+Tabela_base[[#This Row],[Feature Streams (in millions)]])</f>
        <v>-4.8999999999996362</v>
      </c>
    </row>
    <row r="111" spans="1:19" x14ac:dyDescent="0.3">
      <c r="A111" s="20">
        <v>110</v>
      </c>
      <c r="B111" t="s">
        <v>180</v>
      </c>
      <c r="C111" t="s">
        <v>17</v>
      </c>
      <c r="D111" t="s">
        <v>181</v>
      </c>
      <c r="E111" t="s">
        <v>41</v>
      </c>
      <c r="F111" t="s">
        <v>42</v>
      </c>
      <c r="G111" t="s">
        <v>23</v>
      </c>
      <c r="H111">
        <v>2019</v>
      </c>
      <c r="I111">
        <v>11566.2</v>
      </c>
      <c r="J111">
        <v>7224.2</v>
      </c>
      <c r="K111" s="1">
        <v>0.62460000000000004</v>
      </c>
      <c r="L111">
        <v>4349.3999999999996</v>
      </c>
      <c r="M111" s="1">
        <v>0.376</v>
      </c>
      <c r="N111">
        <v>4663</v>
      </c>
      <c r="O111" s="1">
        <v>0.4032</v>
      </c>
      <c r="P111">
        <v>6903.2</v>
      </c>
      <c r="Q111" s="1">
        <v>0.5968</v>
      </c>
      <c r="R11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11" s="2">
        <f>Tabela_base[[#This Row],[Total Streams (in millions)]]-(Tabela_base[[#This Row],[Lead Streams (in millions)]]+Tabela_base[[#This Row],[Feature Streams (in millions)]])</f>
        <v>-7.3999999999978172</v>
      </c>
    </row>
    <row r="112" spans="1:19" x14ac:dyDescent="0.3">
      <c r="A112" s="20">
        <v>111</v>
      </c>
      <c r="B112" t="s">
        <v>182</v>
      </c>
      <c r="C112" t="s">
        <v>17</v>
      </c>
      <c r="D112" t="s">
        <v>18</v>
      </c>
      <c r="E112" t="s">
        <v>19</v>
      </c>
      <c r="F112" t="s">
        <v>20</v>
      </c>
      <c r="G112" t="s">
        <v>23</v>
      </c>
      <c r="H112">
        <v>2015</v>
      </c>
      <c r="I112">
        <v>19977.5</v>
      </c>
      <c r="J112">
        <v>9365.1</v>
      </c>
      <c r="K112" s="1">
        <v>0.46879999999999999</v>
      </c>
      <c r="L112">
        <v>10617.1</v>
      </c>
      <c r="M112" s="1">
        <v>0.53149999999999997</v>
      </c>
      <c r="N112">
        <v>5320.2</v>
      </c>
      <c r="O112" s="1">
        <v>0.26629999999999998</v>
      </c>
      <c r="P112">
        <v>14657.3</v>
      </c>
      <c r="Q112" s="1">
        <v>0.73370000000000002</v>
      </c>
      <c r="R11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12" s="2">
        <f>Tabela_base[[#This Row],[Total Streams (in millions)]]-(Tabela_base[[#This Row],[Lead Streams (in millions)]]+Tabela_base[[#This Row],[Feature Streams (in millions)]])</f>
        <v>-4.7000000000007276</v>
      </c>
    </row>
    <row r="113" spans="1:19" x14ac:dyDescent="0.3">
      <c r="A113" s="20">
        <v>112</v>
      </c>
      <c r="B113" t="s">
        <v>183</v>
      </c>
      <c r="C113" t="s">
        <v>17</v>
      </c>
      <c r="D113" t="s">
        <v>18</v>
      </c>
      <c r="E113" t="s">
        <v>41</v>
      </c>
      <c r="F113" t="s">
        <v>42</v>
      </c>
      <c r="G113" t="s">
        <v>23</v>
      </c>
      <c r="H113">
        <v>1991</v>
      </c>
      <c r="I113">
        <v>41405.4</v>
      </c>
      <c r="J113">
        <v>19772.099999999999</v>
      </c>
      <c r="K113" s="1">
        <v>0.47749999999999998</v>
      </c>
      <c r="L113">
        <v>21650</v>
      </c>
      <c r="M113" s="1">
        <v>0.52290000000000003</v>
      </c>
      <c r="N113">
        <v>10692.8</v>
      </c>
      <c r="O113" s="1">
        <v>0.25819999999999999</v>
      </c>
      <c r="P113">
        <v>30712.6</v>
      </c>
      <c r="Q113" s="1">
        <v>0.74180000000000001</v>
      </c>
      <c r="R11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13" s="2">
        <f>Tabela_base[[#This Row],[Total Streams (in millions)]]-(Tabela_base[[#This Row],[Lead Streams (in millions)]]+Tabela_base[[#This Row],[Feature Streams (in millions)]])</f>
        <v>-16.69999999999709</v>
      </c>
    </row>
    <row r="114" spans="1:19" x14ac:dyDescent="0.3">
      <c r="A114" s="20">
        <v>113</v>
      </c>
      <c r="B114" t="s">
        <v>184</v>
      </c>
      <c r="C114" t="s">
        <v>17</v>
      </c>
      <c r="D114" t="s">
        <v>185</v>
      </c>
      <c r="E114" t="s">
        <v>19</v>
      </c>
      <c r="F114" t="s">
        <v>55</v>
      </c>
      <c r="G114" t="s">
        <v>21</v>
      </c>
      <c r="H114">
        <v>1994</v>
      </c>
      <c r="I114">
        <v>17316.599999999999</v>
      </c>
      <c r="J114">
        <v>10309.700000000001</v>
      </c>
      <c r="K114" s="1">
        <v>0.59540000000000004</v>
      </c>
      <c r="L114">
        <v>7013.9</v>
      </c>
      <c r="M114" s="1">
        <v>0.40500000000000003</v>
      </c>
      <c r="N114">
        <v>6283</v>
      </c>
      <c r="O114" s="1">
        <v>0.36280000000000001</v>
      </c>
      <c r="P114">
        <v>11033.6</v>
      </c>
      <c r="Q114" s="1">
        <v>0.63719999999999999</v>
      </c>
      <c r="R11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14" s="2">
        <f>Tabela_base[[#This Row],[Total Streams (in millions)]]-(Tabela_base[[#This Row],[Lead Streams (in millions)]]+Tabela_base[[#This Row],[Feature Streams (in millions)]])</f>
        <v>-7</v>
      </c>
    </row>
    <row r="115" spans="1:19" x14ac:dyDescent="0.3">
      <c r="A115" s="20">
        <v>114</v>
      </c>
      <c r="B115" t="s">
        <v>186</v>
      </c>
      <c r="C115" t="s">
        <v>17</v>
      </c>
      <c r="D115" t="s">
        <v>18</v>
      </c>
      <c r="E115" t="s">
        <v>41</v>
      </c>
      <c r="F115" t="s">
        <v>42</v>
      </c>
      <c r="G115" t="s">
        <v>23</v>
      </c>
      <c r="H115">
        <v>2014</v>
      </c>
      <c r="I115">
        <v>9948.7000000000007</v>
      </c>
      <c r="J115">
        <v>4105.3</v>
      </c>
      <c r="K115" s="1">
        <v>0.41260000000000002</v>
      </c>
      <c r="L115">
        <v>5843.4</v>
      </c>
      <c r="M115" s="1">
        <v>0.58740000000000003</v>
      </c>
      <c r="N115">
        <v>471.7</v>
      </c>
      <c r="O115" s="1">
        <v>4.7399999999999998E-2</v>
      </c>
      <c r="P115">
        <v>9477</v>
      </c>
      <c r="Q115" s="1">
        <v>0.9526</v>
      </c>
      <c r="R11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15" s="2">
        <f>Tabela_base[[#This Row],[Total Streams (in millions)]]-(Tabela_base[[#This Row],[Lead Streams (in millions)]]+Tabela_base[[#This Row],[Feature Streams (in millions)]])</f>
        <v>0</v>
      </c>
    </row>
    <row r="116" spans="1:19" x14ac:dyDescent="0.3">
      <c r="A116" s="20">
        <v>115</v>
      </c>
      <c r="B116" t="s">
        <v>187</v>
      </c>
      <c r="C116" t="s">
        <v>17</v>
      </c>
      <c r="D116" t="s">
        <v>62</v>
      </c>
      <c r="E116" t="s">
        <v>19</v>
      </c>
      <c r="F116" t="s">
        <v>33</v>
      </c>
      <c r="G116" t="s">
        <v>23</v>
      </c>
      <c r="H116">
        <v>2014</v>
      </c>
      <c r="I116">
        <v>15876.2</v>
      </c>
      <c r="J116">
        <v>12905.1</v>
      </c>
      <c r="K116" s="1">
        <v>0.81289999999999996</v>
      </c>
      <c r="L116">
        <v>2982.4</v>
      </c>
      <c r="M116" s="1">
        <v>0.18790000000000001</v>
      </c>
      <c r="N116">
        <v>7353.2</v>
      </c>
      <c r="O116" s="1">
        <v>0.4632</v>
      </c>
      <c r="P116">
        <v>8523</v>
      </c>
      <c r="Q116" s="1">
        <v>0.53680000000000005</v>
      </c>
      <c r="R11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16" s="2">
        <f>Tabela_base[[#This Row],[Total Streams (in millions)]]-(Tabela_base[[#This Row],[Lead Streams (in millions)]]+Tabela_base[[#This Row],[Feature Streams (in millions)]])</f>
        <v>-11.299999999999272</v>
      </c>
    </row>
    <row r="117" spans="1:19" x14ac:dyDescent="0.3">
      <c r="A117" s="20">
        <v>116</v>
      </c>
      <c r="B117" t="s">
        <v>188</v>
      </c>
      <c r="C117" t="s">
        <v>17</v>
      </c>
      <c r="D117" t="s">
        <v>189</v>
      </c>
      <c r="E117" t="s">
        <v>41</v>
      </c>
      <c r="F117" t="s">
        <v>58</v>
      </c>
      <c r="G117" t="s">
        <v>23</v>
      </c>
      <c r="H117">
        <v>2009</v>
      </c>
      <c r="I117">
        <v>10234.299999999999</v>
      </c>
      <c r="J117">
        <v>8102.5</v>
      </c>
      <c r="K117" s="1">
        <v>0.79169999999999996</v>
      </c>
      <c r="L117">
        <v>2138.3000000000002</v>
      </c>
      <c r="M117" s="1">
        <v>0.2089</v>
      </c>
      <c r="N117">
        <v>6955</v>
      </c>
      <c r="O117" s="1">
        <v>0.67959999999999998</v>
      </c>
      <c r="P117">
        <v>3279.3</v>
      </c>
      <c r="Q117" s="1">
        <v>0.32040000000000002</v>
      </c>
      <c r="R11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17" s="2">
        <f>Tabela_base[[#This Row],[Total Streams (in millions)]]-(Tabela_base[[#This Row],[Lead Streams (in millions)]]+Tabela_base[[#This Row],[Feature Streams (in millions)]])</f>
        <v>-6.5</v>
      </c>
    </row>
    <row r="118" spans="1:19" x14ac:dyDescent="0.3">
      <c r="A118" s="20">
        <v>117</v>
      </c>
      <c r="B118" t="s">
        <v>190</v>
      </c>
      <c r="C118" t="s">
        <v>17</v>
      </c>
      <c r="D118" t="s">
        <v>18</v>
      </c>
      <c r="E118" t="s">
        <v>41</v>
      </c>
      <c r="F118" t="s">
        <v>42</v>
      </c>
      <c r="G118" t="s">
        <v>23</v>
      </c>
      <c r="H118">
        <v>2010</v>
      </c>
      <c r="I118">
        <v>10772</v>
      </c>
      <c r="J118">
        <v>595.6</v>
      </c>
      <c r="K118" s="1">
        <v>5.5300000000000002E-2</v>
      </c>
      <c r="L118">
        <v>10180.6</v>
      </c>
      <c r="M118" s="1">
        <v>0.94510000000000005</v>
      </c>
      <c r="N118">
        <v>689.2</v>
      </c>
      <c r="O118" s="1">
        <v>6.4000000000000001E-2</v>
      </c>
      <c r="P118">
        <v>10082.799999999999</v>
      </c>
      <c r="Q118" s="1">
        <v>0.93600000000000005</v>
      </c>
      <c r="R11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18" s="2">
        <f>Tabela_base[[#This Row],[Total Streams (in millions)]]-(Tabela_base[[#This Row],[Lead Streams (in millions)]]+Tabela_base[[#This Row],[Feature Streams (in millions)]])</f>
        <v>-4.2000000000007276</v>
      </c>
    </row>
    <row r="119" spans="1:19" x14ac:dyDescent="0.3">
      <c r="A119" s="20">
        <v>118</v>
      </c>
      <c r="B119" t="s">
        <v>191</v>
      </c>
      <c r="C119" t="s">
        <v>17</v>
      </c>
      <c r="D119" t="s">
        <v>25</v>
      </c>
      <c r="E119" t="s">
        <v>19</v>
      </c>
      <c r="F119" t="s">
        <v>20</v>
      </c>
      <c r="G119" t="s">
        <v>23</v>
      </c>
      <c r="H119">
        <v>2015</v>
      </c>
      <c r="I119">
        <v>8715.2000000000007</v>
      </c>
      <c r="J119">
        <v>7648.8</v>
      </c>
      <c r="K119" s="1">
        <v>0.87760000000000005</v>
      </c>
      <c r="L119">
        <v>1071.5999999999999</v>
      </c>
      <c r="M119" s="1">
        <v>0.123</v>
      </c>
      <c r="N119">
        <v>2526.6999999999998</v>
      </c>
      <c r="O119" s="1">
        <v>0.28989999999999999</v>
      </c>
      <c r="P119">
        <v>6188.5</v>
      </c>
      <c r="Q119" s="1">
        <v>0.71009999999999995</v>
      </c>
      <c r="R11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19" s="2">
        <f>Tabela_base[[#This Row],[Total Streams (in millions)]]-(Tabela_base[[#This Row],[Lead Streams (in millions)]]+Tabela_base[[#This Row],[Feature Streams (in millions)]])</f>
        <v>-5.1999999999989086</v>
      </c>
    </row>
    <row r="120" spans="1:19" x14ac:dyDescent="0.3">
      <c r="A120" s="20">
        <v>119</v>
      </c>
      <c r="B120" t="s">
        <v>192</v>
      </c>
      <c r="C120" t="s">
        <v>17</v>
      </c>
      <c r="D120" t="s">
        <v>25</v>
      </c>
      <c r="E120" t="s">
        <v>19</v>
      </c>
      <c r="F120" t="s">
        <v>29</v>
      </c>
      <c r="G120" t="s">
        <v>23</v>
      </c>
      <c r="H120">
        <v>1967</v>
      </c>
      <c r="I120">
        <v>10696.6</v>
      </c>
      <c r="J120">
        <v>8379.6</v>
      </c>
      <c r="K120" s="1">
        <v>0.78339999999999999</v>
      </c>
      <c r="L120">
        <v>2317</v>
      </c>
      <c r="M120" s="1">
        <v>0.21659999999999999</v>
      </c>
      <c r="N120">
        <v>8204.5</v>
      </c>
      <c r="O120" s="1">
        <v>0.76700000000000002</v>
      </c>
      <c r="P120">
        <v>2492.1</v>
      </c>
      <c r="Q120" s="1">
        <v>0.23300000000000001</v>
      </c>
      <c r="R12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20" s="2">
        <f>Tabela_base[[#This Row],[Total Streams (in millions)]]-(Tabela_base[[#This Row],[Lead Streams (in millions)]]+Tabela_base[[#This Row],[Feature Streams (in millions)]])</f>
        <v>0</v>
      </c>
    </row>
    <row r="121" spans="1:19" x14ac:dyDescent="0.3">
      <c r="A121" s="20">
        <v>120</v>
      </c>
      <c r="B121" t="s">
        <v>193</v>
      </c>
      <c r="C121" t="s">
        <v>17</v>
      </c>
      <c r="D121" t="s">
        <v>185</v>
      </c>
      <c r="E121" t="s">
        <v>19</v>
      </c>
      <c r="F121" t="s">
        <v>55</v>
      </c>
      <c r="G121" t="s">
        <v>23</v>
      </c>
      <c r="H121">
        <v>1990</v>
      </c>
      <c r="I121">
        <v>42059.5</v>
      </c>
      <c r="J121">
        <v>30750.799999999999</v>
      </c>
      <c r="K121" s="1">
        <v>0.73109999999999997</v>
      </c>
      <c r="L121">
        <v>11325.3</v>
      </c>
      <c r="M121" s="1">
        <v>0.26929999999999998</v>
      </c>
      <c r="N121">
        <v>406.8</v>
      </c>
      <c r="O121" s="1">
        <v>9.7000000000000003E-3</v>
      </c>
      <c r="P121">
        <v>41652.699999999997</v>
      </c>
      <c r="Q121" s="1">
        <v>0.99029999999999996</v>
      </c>
      <c r="R12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21" s="2">
        <f>Tabela_base[[#This Row],[Total Streams (in millions)]]-(Tabela_base[[#This Row],[Lead Streams (in millions)]]+Tabela_base[[#This Row],[Feature Streams (in millions)]])</f>
        <v>-16.599999999998545</v>
      </c>
    </row>
    <row r="122" spans="1:19" x14ac:dyDescent="0.3">
      <c r="A122" s="20">
        <v>121</v>
      </c>
      <c r="B122" t="s">
        <v>194</v>
      </c>
      <c r="C122" t="s">
        <v>17</v>
      </c>
      <c r="D122" t="s">
        <v>18</v>
      </c>
      <c r="E122" t="s">
        <v>41</v>
      </c>
      <c r="F122" t="s">
        <v>42</v>
      </c>
      <c r="G122" t="s">
        <v>23</v>
      </c>
      <c r="H122">
        <v>2004</v>
      </c>
      <c r="I122">
        <v>10352.799999999999</v>
      </c>
      <c r="J122">
        <v>1937.7</v>
      </c>
      <c r="K122" s="1">
        <v>0.18720000000000001</v>
      </c>
      <c r="L122">
        <v>8415.1</v>
      </c>
      <c r="M122" s="1">
        <v>0.81279999999999997</v>
      </c>
      <c r="N122">
        <v>410.2</v>
      </c>
      <c r="O122" s="1">
        <v>3.9600000000000003E-2</v>
      </c>
      <c r="P122">
        <v>9942.6</v>
      </c>
      <c r="Q122" s="1">
        <v>0.96040000000000003</v>
      </c>
      <c r="R12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22" s="2">
        <f>Tabela_base[[#This Row],[Total Streams (in millions)]]-(Tabela_base[[#This Row],[Lead Streams (in millions)]]+Tabela_base[[#This Row],[Feature Streams (in millions)]])</f>
        <v>0</v>
      </c>
    </row>
    <row r="123" spans="1:19" x14ac:dyDescent="0.3">
      <c r="A123" s="20">
        <v>122</v>
      </c>
      <c r="B123" t="s">
        <v>195</v>
      </c>
      <c r="C123" t="s">
        <v>17</v>
      </c>
      <c r="D123" t="s">
        <v>18</v>
      </c>
      <c r="E123" t="s">
        <v>19</v>
      </c>
      <c r="F123" t="s">
        <v>91</v>
      </c>
      <c r="G123" t="s">
        <v>21</v>
      </c>
      <c r="H123">
        <v>1995</v>
      </c>
      <c r="I123">
        <v>8848.2999999999993</v>
      </c>
      <c r="J123">
        <v>8855.1</v>
      </c>
      <c r="K123" s="1">
        <v>1.0007999999999999</v>
      </c>
      <c r="L123">
        <v>0</v>
      </c>
      <c r="M123" s="1">
        <v>0</v>
      </c>
      <c r="N123">
        <v>8823.4</v>
      </c>
      <c r="O123" s="1">
        <v>0.99719999999999998</v>
      </c>
      <c r="P123">
        <v>24.9</v>
      </c>
      <c r="Q123" s="1">
        <v>2.8E-3</v>
      </c>
      <c r="R12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123" s="2">
        <f>Tabela_base[[#This Row],[Total Streams (in millions)]]-(Tabela_base[[#This Row],[Lead Streams (in millions)]]+Tabela_base[[#This Row],[Feature Streams (in millions)]])</f>
        <v>-6.8000000000010914</v>
      </c>
    </row>
    <row r="124" spans="1:19" x14ac:dyDescent="0.3">
      <c r="A124" s="20">
        <v>123</v>
      </c>
      <c r="B124" t="s">
        <v>196</v>
      </c>
      <c r="C124" t="s">
        <v>49</v>
      </c>
      <c r="D124" t="s">
        <v>18</v>
      </c>
      <c r="E124" t="s">
        <v>19</v>
      </c>
      <c r="F124" t="s">
        <v>46</v>
      </c>
      <c r="G124" t="s">
        <v>23</v>
      </c>
      <c r="H124">
        <v>2008</v>
      </c>
      <c r="I124">
        <v>17119.5</v>
      </c>
      <c r="J124">
        <v>11625.6</v>
      </c>
      <c r="K124" s="1">
        <v>0.67910000000000004</v>
      </c>
      <c r="L124">
        <v>5498.6</v>
      </c>
      <c r="M124" s="1">
        <v>0.32119999999999999</v>
      </c>
      <c r="N124">
        <v>10006</v>
      </c>
      <c r="O124" s="1">
        <v>0.58450000000000002</v>
      </c>
      <c r="P124">
        <v>7113.5</v>
      </c>
      <c r="Q124" s="1">
        <v>0.41549999999999998</v>
      </c>
      <c r="R12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24" s="2">
        <f>Tabela_base[[#This Row],[Total Streams (in millions)]]-(Tabela_base[[#This Row],[Lead Streams (in millions)]]+Tabela_base[[#This Row],[Feature Streams (in millions)]])</f>
        <v>-4.7000000000007276</v>
      </c>
    </row>
    <row r="125" spans="1:19" x14ac:dyDescent="0.3">
      <c r="A125" s="20">
        <v>124</v>
      </c>
      <c r="B125" t="s">
        <v>197</v>
      </c>
      <c r="C125" t="s">
        <v>17</v>
      </c>
      <c r="D125" t="s">
        <v>113</v>
      </c>
      <c r="E125" t="s">
        <v>114</v>
      </c>
      <c r="F125" t="s">
        <v>198</v>
      </c>
      <c r="G125" t="s">
        <v>21</v>
      </c>
      <c r="H125">
        <v>1979</v>
      </c>
      <c r="I125">
        <v>24607</v>
      </c>
      <c r="J125">
        <v>24525.4</v>
      </c>
      <c r="K125" s="1">
        <v>0.99670000000000003</v>
      </c>
      <c r="L125">
        <v>81.599999999999994</v>
      </c>
      <c r="M125" s="1">
        <v>3.3E-3</v>
      </c>
      <c r="N125">
        <v>24410.799999999999</v>
      </c>
      <c r="O125" s="1">
        <v>0.99199999999999999</v>
      </c>
      <c r="P125">
        <v>196.2</v>
      </c>
      <c r="Q125" s="1">
        <v>8.0000000000000002E-3</v>
      </c>
      <c r="R12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25" s="2">
        <f>Tabela_base[[#This Row],[Total Streams (in millions)]]-(Tabela_base[[#This Row],[Lead Streams (in millions)]]+Tabela_base[[#This Row],[Feature Streams (in millions)]])</f>
        <v>0</v>
      </c>
    </row>
    <row r="126" spans="1:19" x14ac:dyDescent="0.3">
      <c r="A126" s="20">
        <v>125</v>
      </c>
      <c r="B126" t="s">
        <v>199</v>
      </c>
      <c r="C126" t="s">
        <v>17</v>
      </c>
      <c r="D126" t="s">
        <v>18</v>
      </c>
      <c r="E126" t="s">
        <v>19</v>
      </c>
      <c r="F126" t="s">
        <v>55</v>
      </c>
      <c r="G126" t="s">
        <v>23</v>
      </c>
      <c r="H126">
        <v>2002</v>
      </c>
      <c r="I126">
        <v>20670.8</v>
      </c>
      <c r="J126">
        <v>5352.4</v>
      </c>
      <c r="K126" s="1">
        <v>0.25890000000000002</v>
      </c>
      <c r="L126">
        <v>15318.4</v>
      </c>
      <c r="M126" s="1">
        <v>0.74109999999999998</v>
      </c>
      <c r="N126">
        <v>32.5</v>
      </c>
      <c r="O126" s="1">
        <v>1.6000000000000001E-3</v>
      </c>
      <c r="P126">
        <v>20638.3</v>
      </c>
      <c r="Q126" s="1">
        <v>0.99839999999999995</v>
      </c>
      <c r="R12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26" s="2">
        <f>Tabela_base[[#This Row],[Total Streams (in millions)]]-(Tabela_base[[#This Row],[Lead Streams (in millions)]]+Tabela_base[[#This Row],[Feature Streams (in millions)]])</f>
        <v>0</v>
      </c>
    </row>
    <row r="127" spans="1:19" x14ac:dyDescent="0.3">
      <c r="A127" s="20">
        <v>126</v>
      </c>
      <c r="B127" t="s">
        <v>200</v>
      </c>
      <c r="C127" t="s">
        <v>17</v>
      </c>
      <c r="D127" t="s">
        <v>25</v>
      </c>
      <c r="E127" t="s">
        <v>19</v>
      </c>
      <c r="F127" t="s">
        <v>29</v>
      </c>
      <c r="G127" t="s">
        <v>21</v>
      </c>
      <c r="H127">
        <v>1978</v>
      </c>
      <c r="I127">
        <v>7891.3</v>
      </c>
      <c r="J127">
        <v>7595.8</v>
      </c>
      <c r="K127" s="1">
        <v>0.96260000000000001</v>
      </c>
      <c r="L127">
        <v>298.7</v>
      </c>
      <c r="M127" s="1">
        <v>3.7900000000000003E-2</v>
      </c>
      <c r="N127">
        <v>7890.8</v>
      </c>
      <c r="O127" s="1">
        <v>0.99990000000000001</v>
      </c>
      <c r="P127">
        <v>0.5</v>
      </c>
      <c r="Q127" s="1">
        <v>1E-4</v>
      </c>
      <c r="R12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27" s="2">
        <f>Tabela_base[[#This Row],[Total Streams (in millions)]]-(Tabela_base[[#This Row],[Lead Streams (in millions)]]+Tabela_base[[#This Row],[Feature Streams (in millions)]])</f>
        <v>-3.1999999999998181</v>
      </c>
    </row>
    <row r="128" spans="1:19" x14ac:dyDescent="0.3">
      <c r="A128" s="20">
        <v>127</v>
      </c>
      <c r="B128" t="s">
        <v>201</v>
      </c>
      <c r="C128" t="s">
        <v>17</v>
      </c>
      <c r="D128" t="s">
        <v>25</v>
      </c>
      <c r="E128" t="s">
        <v>19</v>
      </c>
      <c r="F128" t="s">
        <v>55</v>
      </c>
      <c r="G128" t="s">
        <v>21</v>
      </c>
      <c r="H128">
        <v>2010</v>
      </c>
      <c r="I128">
        <v>7787.8</v>
      </c>
      <c r="J128">
        <v>5988.8</v>
      </c>
      <c r="K128" s="1">
        <v>0.76900000000000002</v>
      </c>
      <c r="L128">
        <v>1801.6</v>
      </c>
      <c r="M128" s="1">
        <v>0.23130000000000001</v>
      </c>
      <c r="N128">
        <v>801</v>
      </c>
      <c r="O128" s="1">
        <v>0.10290000000000001</v>
      </c>
      <c r="P128">
        <v>6986.8</v>
      </c>
      <c r="Q128" s="1">
        <v>0.89710000000000001</v>
      </c>
      <c r="R12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28" s="2">
        <f>Tabela_base[[#This Row],[Total Streams (in millions)]]-(Tabela_base[[#This Row],[Lead Streams (in millions)]]+Tabela_base[[#This Row],[Feature Streams (in millions)]])</f>
        <v>-2.5999999999994543</v>
      </c>
    </row>
    <row r="129" spans="1:19" x14ac:dyDescent="0.3">
      <c r="A129" s="20">
        <v>128</v>
      </c>
      <c r="B129" t="s">
        <v>202</v>
      </c>
      <c r="C129" t="s">
        <v>44</v>
      </c>
      <c r="D129" t="s">
        <v>18</v>
      </c>
      <c r="E129" t="s">
        <v>19</v>
      </c>
      <c r="F129" t="s">
        <v>203</v>
      </c>
      <c r="G129" t="s">
        <v>21</v>
      </c>
      <c r="H129">
        <v>1949</v>
      </c>
      <c r="I129">
        <v>22236.1</v>
      </c>
      <c r="J129">
        <v>287.8</v>
      </c>
      <c r="K129" s="1">
        <v>1.29E-2</v>
      </c>
      <c r="L129">
        <v>21966.6</v>
      </c>
      <c r="M129" s="1">
        <v>0.9879</v>
      </c>
      <c r="N129">
        <v>0</v>
      </c>
      <c r="O129" s="1">
        <v>0</v>
      </c>
      <c r="P129">
        <v>22236.1</v>
      </c>
      <c r="Q129" s="1">
        <v>1</v>
      </c>
      <c r="R12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29" s="2">
        <f>Tabela_base[[#This Row],[Total Streams (in millions)]]-(Tabela_base[[#This Row],[Lead Streams (in millions)]]+Tabela_base[[#This Row],[Feature Streams (in millions)]])</f>
        <v>-18.299999999999272</v>
      </c>
    </row>
    <row r="130" spans="1:19" x14ac:dyDescent="0.3">
      <c r="A130" s="20">
        <v>129</v>
      </c>
      <c r="B130" t="s">
        <v>204</v>
      </c>
      <c r="C130" t="s">
        <v>17</v>
      </c>
      <c r="D130" t="s">
        <v>18</v>
      </c>
      <c r="E130" t="s">
        <v>19</v>
      </c>
      <c r="F130" t="s">
        <v>91</v>
      </c>
      <c r="G130" t="s">
        <v>21</v>
      </c>
      <c r="H130">
        <v>2000</v>
      </c>
      <c r="I130">
        <v>7612.3</v>
      </c>
      <c r="J130">
        <v>7614.9</v>
      </c>
      <c r="K130" s="1">
        <v>1.0003</v>
      </c>
      <c r="L130">
        <v>0</v>
      </c>
      <c r="M130" s="1">
        <v>0</v>
      </c>
      <c r="N130">
        <v>6849.1</v>
      </c>
      <c r="O130" s="1">
        <v>0.89970000000000006</v>
      </c>
      <c r="P130">
        <v>763.2</v>
      </c>
      <c r="Q130" s="1">
        <v>0.1003</v>
      </c>
      <c r="R13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130" s="2">
        <f>Tabela_base[[#This Row],[Total Streams (in millions)]]-(Tabela_base[[#This Row],[Lead Streams (in millions)]]+Tabela_base[[#This Row],[Feature Streams (in millions)]])</f>
        <v>-2.5999999999994543</v>
      </c>
    </row>
    <row r="131" spans="1:19" x14ac:dyDescent="0.3">
      <c r="A131" s="20">
        <v>130</v>
      </c>
      <c r="B131" t="s">
        <v>205</v>
      </c>
      <c r="C131" t="s">
        <v>17</v>
      </c>
      <c r="D131" t="s">
        <v>18</v>
      </c>
      <c r="E131" t="s">
        <v>19</v>
      </c>
      <c r="F131" t="s">
        <v>20</v>
      </c>
      <c r="G131" t="s">
        <v>23</v>
      </c>
      <c r="H131">
        <v>2006</v>
      </c>
      <c r="I131">
        <v>11196</v>
      </c>
      <c r="J131">
        <v>10287.700000000001</v>
      </c>
      <c r="K131" s="1">
        <v>0.91890000000000005</v>
      </c>
      <c r="L131">
        <v>910.9</v>
      </c>
      <c r="M131" s="1">
        <v>8.14E-2</v>
      </c>
      <c r="N131">
        <v>656.6</v>
      </c>
      <c r="O131" s="1">
        <v>5.8599999999999999E-2</v>
      </c>
      <c r="P131">
        <v>10539.4</v>
      </c>
      <c r="Q131" s="1">
        <v>0.94140000000000001</v>
      </c>
      <c r="R13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31" s="2">
        <f>Tabela_base[[#This Row],[Total Streams (in millions)]]-(Tabela_base[[#This Row],[Lead Streams (in millions)]]+Tabela_base[[#This Row],[Feature Streams (in millions)]])</f>
        <v>-2.6000000000003638</v>
      </c>
    </row>
    <row r="132" spans="1:19" x14ac:dyDescent="0.3">
      <c r="A132" s="20">
        <v>131</v>
      </c>
      <c r="B132" t="s">
        <v>206</v>
      </c>
      <c r="C132" t="s">
        <v>17</v>
      </c>
      <c r="D132" t="s">
        <v>18</v>
      </c>
      <c r="E132" t="s">
        <v>41</v>
      </c>
      <c r="F132" t="s">
        <v>42</v>
      </c>
      <c r="G132" t="s">
        <v>23</v>
      </c>
      <c r="H132">
        <v>2010</v>
      </c>
      <c r="I132">
        <v>8801.6</v>
      </c>
      <c r="J132">
        <v>1220.5999999999999</v>
      </c>
      <c r="K132" s="1">
        <v>0.13869999999999999</v>
      </c>
      <c r="L132">
        <v>7581</v>
      </c>
      <c r="M132" s="1">
        <v>0.86129999999999995</v>
      </c>
      <c r="N132">
        <v>0</v>
      </c>
      <c r="O132" s="1">
        <v>0</v>
      </c>
      <c r="P132">
        <v>8801.6</v>
      </c>
      <c r="Q132" s="1">
        <v>1</v>
      </c>
      <c r="R13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32" s="2">
        <f>Tabela_base[[#This Row],[Total Streams (in millions)]]-(Tabela_base[[#This Row],[Lead Streams (in millions)]]+Tabela_base[[#This Row],[Feature Streams (in millions)]])</f>
        <v>0</v>
      </c>
    </row>
    <row r="133" spans="1:19" x14ac:dyDescent="0.3">
      <c r="A133" s="20">
        <v>132</v>
      </c>
      <c r="B133" t="s">
        <v>207</v>
      </c>
      <c r="C133" t="s">
        <v>17</v>
      </c>
      <c r="D133" t="s">
        <v>185</v>
      </c>
      <c r="E133" t="s">
        <v>19</v>
      </c>
      <c r="F133" t="s">
        <v>55</v>
      </c>
      <c r="G133" t="s">
        <v>23</v>
      </c>
      <c r="H133">
        <v>2013</v>
      </c>
      <c r="I133">
        <v>15921.1</v>
      </c>
      <c r="J133">
        <v>12030.1</v>
      </c>
      <c r="K133" s="1">
        <v>0.75560000000000005</v>
      </c>
      <c r="L133">
        <v>3896.3</v>
      </c>
      <c r="M133" s="1">
        <v>0.2447</v>
      </c>
      <c r="N133">
        <v>527.5</v>
      </c>
      <c r="O133" s="1">
        <v>3.3099999999999997E-2</v>
      </c>
      <c r="P133">
        <v>15393.6</v>
      </c>
      <c r="Q133" s="1">
        <v>0.96689999999999998</v>
      </c>
      <c r="R13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33" s="2">
        <f>Tabela_base[[#This Row],[Total Streams (in millions)]]-(Tabela_base[[#This Row],[Lead Streams (in millions)]]+Tabela_base[[#This Row],[Feature Streams (in millions)]])</f>
        <v>-5.3000000000010914</v>
      </c>
    </row>
    <row r="134" spans="1:19" x14ac:dyDescent="0.3">
      <c r="A134" s="20">
        <v>133</v>
      </c>
      <c r="B134" t="s">
        <v>208</v>
      </c>
      <c r="C134" t="s">
        <v>49</v>
      </c>
      <c r="D134" t="s">
        <v>18</v>
      </c>
      <c r="E134" t="s">
        <v>19</v>
      </c>
      <c r="F134" t="s">
        <v>46</v>
      </c>
      <c r="G134" t="s">
        <v>23</v>
      </c>
      <c r="H134">
        <v>2012</v>
      </c>
      <c r="I134">
        <v>31214.3</v>
      </c>
      <c r="J134">
        <v>25574.2</v>
      </c>
      <c r="K134" s="1">
        <v>0.81930000000000003</v>
      </c>
      <c r="L134">
        <v>5650.9</v>
      </c>
      <c r="M134" s="1">
        <v>0.18099999999999999</v>
      </c>
      <c r="N134">
        <v>18797.099999999999</v>
      </c>
      <c r="O134" s="1">
        <v>0.60219999999999996</v>
      </c>
      <c r="P134">
        <v>12417.2</v>
      </c>
      <c r="Q134" s="1">
        <v>0.39779999999999999</v>
      </c>
      <c r="R13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34" s="2">
        <f>Tabela_base[[#This Row],[Total Streams (in millions)]]-(Tabela_base[[#This Row],[Lead Streams (in millions)]]+Tabela_base[[#This Row],[Feature Streams (in millions)]])</f>
        <v>-10.799999999999272</v>
      </c>
    </row>
    <row r="135" spans="1:19" x14ac:dyDescent="0.3">
      <c r="A135" s="20">
        <v>134</v>
      </c>
      <c r="B135" t="s">
        <v>209</v>
      </c>
      <c r="C135" t="s">
        <v>17</v>
      </c>
      <c r="D135" t="s">
        <v>18</v>
      </c>
      <c r="E135" t="s">
        <v>19</v>
      </c>
      <c r="F135" t="s">
        <v>101</v>
      </c>
      <c r="G135" t="s">
        <v>23</v>
      </c>
      <c r="H135">
        <v>2017</v>
      </c>
      <c r="I135">
        <v>7485.1</v>
      </c>
      <c r="J135">
        <v>6757.7</v>
      </c>
      <c r="K135" s="1">
        <v>0.90280000000000005</v>
      </c>
      <c r="L135">
        <v>735.7</v>
      </c>
      <c r="M135" s="1">
        <v>9.8299999999999998E-2</v>
      </c>
      <c r="N135">
        <v>6205.8</v>
      </c>
      <c r="O135" s="1">
        <v>0.82909999999999995</v>
      </c>
      <c r="P135">
        <v>1279.3</v>
      </c>
      <c r="Q135" s="1">
        <v>0.1709</v>
      </c>
      <c r="R13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35" s="2">
        <f>Tabela_base[[#This Row],[Total Streams (in millions)]]-(Tabela_base[[#This Row],[Lead Streams (in millions)]]+Tabela_base[[#This Row],[Feature Streams (in millions)]])</f>
        <v>-8.2999999999992724</v>
      </c>
    </row>
    <row r="136" spans="1:19" x14ac:dyDescent="0.3">
      <c r="A136" s="20">
        <v>135</v>
      </c>
      <c r="B136" t="s">
        <v>210</v>
      </c>
      <c r="C136" t="s">
        <v>17</v>
      </c>
      <c r="D136" t="s">
        <v>18</v>
      </c>
      <c r="E136" t="s">
        <v>41</v>
      </c>
      <c r="F136" t="s">
        <v>42</v>
      </c>
      <c r="G136" t="s">
        <v>23</v>
      </c>
      <c r="H136">
        <v>2003</v>
      </c>
      <c r="I136">
        <v>18580.599999999999</v>
      </c>
      <c r="J136">
        <v>14990.8</v>
      </c>
      <c r="K136" s="1">
        <v>0.80679999999999996</v>
      </c>
      <c r="L136">
        <v>3601.2</v>
      </c>
      <c r="M136" s="1">
        <v>0.1938</v>
      </c>
      <c r="N136">
        <v>8321.9</v>
      </c>
      <c r="O136" s="1">
        <v>0.44790000000000002</v>
      </c>
      <c r="P136">
        <v>10258.700000000001</v>
      </c>
      <c r="Q136" s="1">
        <v>0.55210000000000004</v>
      </c>
      <c r="R13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36" s="2">
        <f>Tabela_base[[#This Row],[Total Streams (in millions)]]-(Tabela_base[[#This Row],[Lead Streams (in millions)]]+Tabela_base[[#This Row],[Feature Streams (in millions)]])</f>
        <v>-11.400000000001455</v>
      </c>
    </row>
    <row r="137" spans="1:19" x14ac:dyDescent="0.3">
      <c r="A137" s="20">
        <v>136</v>
      </c>
      <c r="B137" t="s">
        <v>211</v>
      </c>
      <c r="C137" t="s">
        <v>17</v>
      </c>
      <c r="D137" t="s">
        <v>18</v>
      </c>
      <c r="E137" t="s">
        <v>19</v>
      </c>
      <c r="F137" t="s">
        <v>20</v>
      </c>
      <c r="G137" t="s">
        <v>23</v>
      </c>
      <c r="H137">
        <v>2017</v>
      </c>
      <c r="I137">
        <v>19830.5</v>
      </c>
      <c r="J137">
        <v>12351.9</v>
      </c>
      <c r="K137" s="1">
        <v>0.62290000000000001</v>
      </c>
      <c r="L137">
        <v>7494</v>
      </c>
      <c r="M137" s="1">
        <v>0.37790000000000001</v>
      </c>
      <c r="N137">
        <v>8302.6</v>
      </c>
      <c r="O137" s="1">
        <v>0.41870000000000002</v>
      </c>
      <c r="P137">
        <v>11527.9</v>
      </c>
      <c r="Q137" s="1">
        <v>0.58130000000000004</v>
      </c>
      <c r="R13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37" s="2">
        <f>Tabela_base[[#This Row],[Total Streams (in millions)]]-(Tabela_base[[#This Row],[Lead Streams (in millions)]]+Tabela_base[[#This Row],[Feature Streams (in millions)]])</f>
        <v>-15.400000000001455</v>
      </c>
    </row>
    <row r="138" spans="1:19" x14ac:dyDescent="0.3">
      <c r="A138" s="20">
        <v>137</v>
      </c>
      <c r="B138" t="s">
        <v>212</v>
      </c>
      <c r="C138" t="s">
        <v>17</v>
      </c>
      <c r="D138" t="s">
        <v>18</v>
      </c>
      <c r="E138" t="s">
        <v>19</v>
      </c>
      <c r="F138" t="s">
        <v>20</v>
      </c>
      <c r="G138" t="s">
        <v>23</v>
      </c>
      <c r="H138">
        <v>1984</v>
      </c>
      <c r="I138">
        <v>13320.3</v>
      </c>
      <c r="J138">
        <v>8568.7000000000007</v>
      </c>
      <c r="K138" s="1">
        <v>0.64329999999999998</v>
      </c>
      <c r="L138">
        <v>4756.2</v>
      </c>
      <c r="M138" s="1">
        <v>0.35709999999999997</v>
      </c>
      <c r="N138">
        <v>464.4</v>
      </c>
      <c r="O138" s="1">
        <v>3.49E-2</v>
      </c>
      <c r="P138">
        <v>12855.9</v>
      </c>
      <c r="Q138" s="1">
        <v>0.96509999999999996</v>
      </c>
      <c r="R13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38" s="2">
        <f>Tabela_base[[#This Row],[Total Streams (in millions)]]-(Tabela_base[[#This Row],[Lead Streams (in millions)]]+Tabela_base[[#This Row],[Feature Streams (in millions)]])</f>
        <v>-4.6000000000021828</v>
      </c>
    </row>
    <row r="139" spans="1:19" x14ac:dyDescent="0.3">
      <c r="A139" s="20">
        <v>138</v>
      </c>
      <c r="B139" t="s">
        <v>213</v>
      </c>
      <c r="C139" t="s">
        <v>17</v>
      </c>
      <c r="D139" t="s">
        <v>62</v>
      </c>
      <c r="E139" t="s">
        <v>19</v>
      </c>
      <c r="F139" t="s">
        <v>20</v>
      </c>
      <c r="G139" t="s">
        <v>23</v>
      </c>
      <c r="H139">
        <v>2006</v>
      </c>
      <c r="I139">
        <v>137492.1</v>
      </c>
      <c r="J139">
        <v>94851.1</v>
      </c>
      <c r="K139" s="1">
        <v>0.68989999999999996</v>
      </c>
      <c r="L139">
        <v>42640.9</v>
      </c>
      <c r="M139" s="1">
        <v>0.31009999999999999</v>
      </c>
      <c r="N139">
        <v>53323.9</v>
      </c>
      <c r="O139" s="1">
        <v>0.38779999999999998</v>
      </c>
      <c r="P139">
        <v>84168.2</v>
      </c>
      <c r="Q139" s="1">
        <v>0.61219999999999997</v>
      </c>
      <c r="R13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39" s="2">
        <f>Tabela_base[[#This Row],[Total Streams (in millions)]]-(Tabela_base[[#This Row],[Lead Streams (in millions)]]+Tabela_base[[#This Row],[Feature Streams (in millions)]])</f>
        <v>0.10000000000582077</v>
      </c>
    </row>
    <row r="140" spans="1:19" x14ac:dyDescent="0.3">
      <c r="A140" s="20">
        <v>139</v>
      </c>
      <c r="B140" t="s">
        <v>214</v>
      </c>
      <c r="C140" t="s">
        <v>49</v>
      </c>
      <c r="D140" t="s">
        <v>25</v>
      </c>
      <c r="E140" t="s">
        <v>19</v>
      </c>
      <c r="F140" t="s">
        <v>46</v>
      </c>
      <c r="G140" t="s">
        <v>23</v>
      </c>
      <c r="H140">
        <v>2015</v>
      </c>
      <c r="I140">
        <v>41944.1</v>
      </c>
      <c r="J140">
        <v>28269.7</v>
      </c>
      <c r="K140" s="1">
        <v>0.67400000000000004</v>
      </c>
      <c r="L140">
        <v>13687.6</v>
      </c>
      <c r="M140" s="1">
        <v>0.32629999999999998</v>
      </c>
      <c r="N140">
        <v>23133.7</v>
      </c>
      <c r="O140" s="1">
        <v>0.55149999999999999</v>
      </c>
      <c r="P140">
        <v>18810.400000000001</v>
      </c>
      <c r="Q140" s="1">
        <v>0.44850000000000001</v>
      </c>
      <c r="R14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40" s="2">
        <f>Tabela_base[[#This Row],[Total Streams (in millions)]]-(Tabela_base[[#This Row],[Lead Streams (in millions)]]+Tabela_base[[#This Row],[Feature Streams (in millions)]])</f>
        <v>-13.200000000004366</v>
      </c>
    </row>
    <row r="141" spans="1:19" x14ac:dyDescent="0.3">
      <c r="A141" s="20">
        <v>140</v>
      </c>
      <c r="B141" t="s">
        <v>215</v>
      </c>
      <c r="C141" t="s">
        <v>17</v>
      </c>
      <c r="D141" t="s">
        <v>120</v>
      </c>
      <c r="E141" t="s">
        <v>41</v>
      </c>
      <c r="F141" t="s">
        <v>20</v>
      </c>
      <c r="G141" t="s">
        <v>23</v>
      </c>
      <c r="H141">
        <v>2016</v>
      </c>
      <c r="I141">
        <v>15684.7</v>
      </c>
      <c r="J141">
        <v>7885.7</v>
      </c>
      <c r="K141" s="1">
        <v>0.50280000000000002</v>
      </c>
      <c r="L141">
        <v>7799</v>
      </c>
      <c r="M141" s="1">
        <v>0.49719999999999998</v>
      </c>
      <c r="N141">
        <v>3430.6</v>
      </c>
      <c r="O141" s="1">
        <v>0.21870000000000001</v>
      </c>
      <c r="P141">
        <v>12254.1</v>
      </c>
      <c r="Q141" s="1">
        <v>0.78129999999999999</v>
      </c>
      <c r="R14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41" s="2">
        <f>Tabela_base[[#This Row],[Total Streams (in millions)]]-(Tabela_base[[#This Row],[Lead Streams (in millions)]]+Tabela_base[[#This Row],[Feature Streams (in millions)]])</f>
        <v>0</v>
      </c>
    </row>
    <row r="142" spans="1:19" x14ac:dyDescent="0.3">
      <c r="A142" s="20">
        <v>141</v>
      </c>
      <c r="B142" t="s">
        <v>216</v>
      </c>
      <c r="C142" t="s">
        <v>17</v>
      </c>
      <c r="D142" t="s">
        <v>18</v>
      </c>
      <c r="E142" t="s">
        <v>19</v>
      </c>
      <c r="F142" t="s">
        <v>29</v>
      </c>
      <c r="G142" t="s">
        <v>21</v>
      </c>
      <c r="H142">
        <v>1972</v>
      </c>
      <c r="I142">
        <v>7987.3</v>
      </c>
      <c r="J142">
        <v>7990.9</v>
      </c>
      <c r="K142" s="1">
        <v>1.0004999999999999</v>
      </c>
      <c r="L142">
        <v>0</v>
      </c>
      <c r="M142" s="1">
        <v>0</v>
      </c>
      <c r="N142">
        <v>7987.3</v>
      </c>
      <c r="O142" s="1">
        <v>1</v>
      </c>
      <c r="P142">
        <v>0</v>
      </c>
      <c r="Q142" s="1">
        <v>0</v>
      </c>
      <c r="R14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142" s="2">
        <f>Tabela_base[[#This Row],[Total Streams (in millions)]]-(Tabela_base[[#This Row],[Lead Streams (in millions)]]+Tabela_base[[#This Row],[Feature Streams (in millions)]])</f>
        <v>-3.5999999999994543</v>
      </c>
    </row>
    <row r="143" spans="1:19" x14ac:dyDescent="0.3">
      <c r="A143" s="20">
        <v>142</v>
      </c>
      <c r="B143" t="s">
        <v>217</v>
      </c>
      <c r="C143" t="s">
        <v>17</v>
      </c>
      <c r="D143" t="s">
        <v>25</v>
      </c>
      <c r="E143" t="s">
        <v>19</v>
      </c>
      <c r="F143" t="s">
        <v>46</v>
      </c>
      <c r="G143" t="s">
        <v>23</v>
      </c>
      <c r="H143">
        <v>2011</v>
      </c>
      <c r="I143">
        <v>64656.9</v>
      </c>
      <c r="J143">
        <v>57704</v>
      </c>
      <c r="K143" s="1">
        <v>0.89249999999999996</v>
      </c>
      <c r="L143">
        <v>6967.8</v>
      </c>
      <c r="M143" s="1">
        <v>0.10780000000000001</v>
      </c>
      <c r="N143">
        <v>46700</v>
      </c>
      <c r="O143" s="1">
        <v>0.72230000000000005</v>
      </c>
      <c r="P143">
        <v>17956.900000000001</v>
      </c>
      <c r="Q143" s="1">
        <v>0.2777</v>
      </c>
      <c r="R14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43" s="2">
        <f>Tabela_base[[#This Row],[Total Streams (in millions)]]-(Tabela_base[[#This Row],[Lead Streams (in millions)]]+Tabela_base[[#This Row],[Feature Streams (in millions)]])</f>
        <v>-14.900000000001455</v>
      </c>
    </row>
    <row r="144" spans="1:19" x14ac:dyDescent="0.3">
      <c r="A144" s="20">
        <v>143</v>
      </c>
      <c r="B144" t="s">
        <v>218</v>
      </c>
      <c r="C144" t="s">
        <v>17</v>
      </c>
      <c r="D144" t="s">
        <v>219</v>
      </c>
      <c r="E144" t="s">
        <v>41</v>
      </c>
      <c r="F144" t="s">
        <v>58</v>
      </c>
      <c r="G144" t="s">
        <v>23</v>
      </c>
      <c r="H144">
        <v>2008</v>
      </c>
      <c r="I144">
        <v>9056.5</v>
      </c>
      <c r="J144">
        <v>5112.2</v>
      </c>
      <c r="K144" s="1">
        <v>0.5645</v>
      </c>
      <c r="L144">
        <v>3944.3</v>
      </c>
      <c r="M144" s="1">
        <v>0.4355</v>
      </c>
      <c r="N144">
        <v>561.5</v>
      </c>
      <c r="O144" s="1">
        <v>6.2E-2</v>
      </c>
      <c r="P144">
        <v>8495</v>
      </c>
      <c r="Q144" s="1">
        <v>0.93799999999999994</v>
      </c>
      <c r="R14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44" s="2">
        <f>Tabela_base[[#This Row],[Total Streams (in millions)]]-(Tabela_base[[#This Row],[Lead Streams (in millions)]]+Tabela_base[[#This Row],[Feature Streams (in millions)]])</f>
        <v>0</v>
      </c>
    </row>
    <row r="145" spans="1:19" x14ac:dyDescent="0.3">
      <c r="A145" s="20">
        <v>144</v>
      </c>
      <c r="B145" t="s">
        <v>220</v>
      </c>
      <c r="C145" t="s">
        <v>17</v>
      </c>
      <c r="D145" t="s">
        <v>18</v>
      </c>
      <c r="E145" t="s">
        <v>41</v>
      </c>
      <c r="F145" t="s">
        <v>20</v>
      </c>
      <c r="G145" t="s">
        <v>23</v>
      </c>
      <c r="H145">
        <v>2017</v>
      </c>
      <c r="I145">
        <v>12209.5</v>
      </c>
      <c r="J145">
        <v>8937.9</v>
      </c>
      <c r="K145" s="1">
        <v>0.73199999999999998</v>
      </c>
      <c r="L145">
        <v>3281.7</v>
      </c>
      <c r="M145" s="1">
        <v>0.26879999999999998</v>
      </c>
      <c r="N145">
        <v>3226.5</v>
      </c>
      <c r="O145" s="1">
        <v>0.26429999999999998</v>
      </c>
      <c r="P145">
        <v>8983</v>
      </c>
      <c r="Q145" s="1">
        <v>0.73570000000000002</v>
      </c>
      <c r="R14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45" s="2">
        <f>Tabela_base[[#This Row],[Total Streams (in millions)]]-(Tabela_base[[#This Row],[Lead Streams (in millions)]]+Tabela_base[[#This Row],[Feature Streams (in millions)]])</f>
        <v>-10.099999999998545</v>
      </c>
    </row>
    <row r="146" spans="1:19" x14ac:dyDescent="0.3">
      <c r="A146" s="20">
        <v>145</v>
      </c>
      <c r="B146" t="s">
        <v>221</v>
      </c>
      <c r="C146" t="s">
        <v>49</v>
      </c>
      <c r="D146" t="s">
        <v>25</v>
      </c>
      <c r="E146" t="s">
        <v>19</v>
      </c>
      <c r="F146" t="s">
        <v>46</v>
      </c>
      <c r="G146" t="s">
        <v>23</v>
      </c>
      <c r="H146">
        <v>2009</v>
      </c>
      <c r="I146">
        <v>16553.3</v>
      </c>
      <c r="J146">
        <v>11362.1</v>
      </c>
      <c r="K146" s="1">
        <v>0.68640000000000001</v>
      </c>
      <c r="L146">
        <v>5197.6000000000004</v>
      </c>
      <c r="M146" s="1">
        <v>0.314</v>
      </c>
      <c r="N146">
        <v>8685.9</v>
      </c>
      <c r="O146" s="1">
        <v>0.52470000000000006</v>
      </c>
      <c r="P146">
        <v>7867.4</v>
      </c>
      <c r="Q146" s="1">
        <v>0.4753</v>
      </c>
      <c r="R14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46" s="2">
        <f>Tabela_base[[#This Row],[Total Streams (in millions)]]-(Tabela_base[[#This Row],[Lead Streams (in millions)]]+Tabela_base[[#This Row],[Feature Streams (in millions)]])</f>
        <v>-6.4000000000014552</v>
      </c>
    </row>
    <row r="147" spans="1:19" x14ac:dyDescent="0.3">
      <c r="A147" s="20">
        <v>146</v>
      </c>
      <c r="B147" t="s">
        <v>222</v>
      </c>
      <c r="C147" t="s">
        <v>17</v>
      </c>
      <c r="D147" t="s">
        <v>25</v>
      </c>
      <c r="E147" t="s">
        <v>19</v>
      </c>
      <c r="F147" t="s">
        <v>29</v>
      </c>
      <c r="G147" t="s">
        <v>23</v>
      </c>
      <c r="H147">
        <v>1969</v>
      </c>
      <c r="I147">
        <v>19090.400000000001</v>
      </c>
      <c r="J147">
        <v>17435.400000000001</v>
      </c>
      <c r="K147" s="1">
        <v>0.9133</v>
      </c>
      <c r="L147">
        <v>1662.4</v>
      </c>
      <c r="M147" s="1">
        <v>8.7099999999999997E-2</v>
      </c>
      <c r="N147">
        <v>12211.1</v>
      </c>
      <c r="O147" s="1">
        <v>0.63959999999999995</v>
      </c>
      <c r="P147">
        <v>6879.3</v>
      </c>
      <c r="Q147" s="1">
        <v>0.3604</v>
      </c>
      <c r="R14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47" s="2">
        <f>Tabela_base[[#This Row],[Total Streams (in millions)]]-(Tabela_base[[#This Row],[Lead Streams (in millions)]]+Tabela_base[[#This Row],[Feature Streams (in millions)]])</f>
        <v>-7.4000000000014552</v>
      </c>
    </row>
    <row r="148" spans="1:19" x14ac:dyDescent="0.3">
      <c r="A148" s="20">
        <v>147</v>
      </c>
      <c r="B148" t="s">
        <v>223</v>
      </c>
      <c r="C148" t="s">
        <v>17</v>
      </c>
      <c r="D148" t="s">
        <v>18</v>
      </c>
      <c r="E148" t="s">
        <v>19</v>
      </c>
      <c r="F148" t="s">
        <v>29</v>
      </c>
      <c r="G148" t="s">
        <v>23</v>
      </c>
      <c r="H148">
        <v>1954</v>
      </c>
      <c r="I148">
        <v>11588.8</v>
      </c>
      <c r="J148">
        <v>11545</v>
      </c>
      <c r="K148" s="1">
        <v>0.99619999999999997</v>
      </c>
      <c r="L148">
        <v>47.3</v>
      </c>
      <c r="M148" s="1">
        <v>4.1000000000000003E-3</v>
      </c>
      <c r="N148">
        <v>10653.5</v>
      </c>
      <c r="O148" s="1">
        <v>0.91930000000000001</v>
      </c>
      <c r="P148">
        <v>935.3</v>
      </c>
      <c r="Q148" s="1">
        <v>8.0699999999999994E-2</v>
      </c>
      <c r="R14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48" s="2">
        <f>Tabela_base[[#This Row],[Total Streams (in millions)]]-(Tabela_base[[#This Row],[Lead Streams (in millions)]]+Tabela_base[[#This Row],[Feature Streams (in millions)]])</f>
        <v>-3.5</v>
      </c>
    </row>
    <row r="149" spans="1:19" x14ac:dyDescent="0.3">
      <c r="A149" s="20">
        <v>148</v>
      </c>
      <c r="B149" t="s">
        <v>224</v>
      </c>
      <c r="C149" t="s">
        <v>17</v>
      </c>
      <c r="D149" t="s">
        <v>18</v>
      </c>
      <c r="E149" t="s">
        <v>19</v>
      </c>
      <c r="F149" t="s">
        <v>20</v>
      </c>
      <c r="G149" t="s">
        <v>23</v>
      </c>
      <c r="H149">
        <v>1996</v>
      </c>
      <c r="I149">
        <v>64549</v>
      </c>
      <c r="J149">
        <v>54466.8</v>
      </c>
      <c r="K149" s="1">
        <v>0.84379999999999999</v>
      </c>
      <c r="L149">
        <v>10100.700000000001</v>
      </c>
      <c r="M149" s="1">
        <v>0.1565</v>
      </c>
      <c r="N149">
        <v>32940</v>
      </c>
      <c r="O149" s="1">
        <v>0.51029999999999998</v>
      </c>
      <c r="P149">
        <v>31609</v>
      </c>
      <c r="Q149" s="1">
        <v>0.48970000000000002</v>
      </c>
      <c r="R14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49" s="2">
        <f>Tabela_base[[#This Row],[Total Streams (in millions)]]-(Tabela_base[[#This Row],[Lead Streams (in millions)]]+Tabela_base[[#This Row],[Feature Streams (in millions)]])</f>
        <v>-18.5</v>
      </c>
    </row>
    <row r="150" spans="1:19" x14ac:dyDescent="0.3">
      <c r="A150" s="20">
        <v>149</v>
      </c>
      <c r="B150" t="s">
        <v>225</v>
      </c>
      <c r="C150" t="s">
        <v>17</v>
      </c>
      <c r="D150" t="s">
        <v>124</v>
      </c>
      <c r="E150" t="s">
        <v>125</v>
      </c>
      <c r="F150" t="s">
        <v>126</v>
      </c>
      <c r="G150" t="s">
        <v>21</v>
      </c>
      <c r="H150">
        <v>2020</v>
      </c>
      <c r="I150">
        <v>7486.2</v>
      </c>
      <c r="J150">
        <v>7178.8</v>
      </c>
      <c r="K150" s="1">
        <v>0.95889999999999997</v>
      </c>
      <c r="L150">
        <v>328.1</v>
      </c>
      <c r="M150" s="1">
        <v>4.3799999999999999E-2</v>
      </c>
      <c r="N150">
        <v>7290.2</v>
      </c>
      <c r="O150" s="1">
        <v>0.9738</v>
      </c>
      <c r="P150">
        <v>196</v>
      </c>
      <c r="Q150" s="1">
        <v>2.6200000000000001E-2</v>
      </c>
      <c r="R15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50" s="2">
        <f>Tabela_base[[#This Row],[Total Streams (in millions)]]-(Tabela_base[[#This Row],[Lead Streams (in millions)]]+Tabela_base[[#This Row],[Feature Streams (in millions)]])</f>
        <v>-20.700000000000728</v>
      </c>
    </row>
    <row r="151" spans="1:19" x14ac:dyDescent="0.3">
      <c r="A151" s="20">
        <v>150</v>
      </c>
      <c r="B151" t="s">
        <v>226</v>
      </c>
      <c r="C151" t="s">
        <v>17</v>
      </c>
      <c r="D151" t="s">
        <v>60</v>
      </c>
      <c r="E151" t="s">
        <v>41</v>
      </c>
      <c r="F151" t="s">
        <v>58</v>
      </c>
      <c r="G151" t="s">
        <v>23</v>
      </c>
      <c r="H151">
        <v>1995</v>
      </c>
      <c r="I151">
        <v>12857.9</v>
      </c>
      <c r="J151">
        <v>11010.3</v>
      </c>
      <c r="K151" s="1">
        <v>0.85629999999999995</v>
      </c>
      <c r="L151">
        <v>1853</v>
      </c>
      <c r="M151" s="1">
        <v>0.14410000000000001</v>
      </c>
      <c r="N151">
        <v>3301</v>
      </c>
      <c r="O151" s="1">
        <v>0.25669999999999998</v>
      </c>
      <c r="P151">
        <v>9556.9</v>
      </c>
      <c r="Q151" s="1">
        <v>0.74329999999999996</v>
      </c>
      <c r="R15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51" s="2">
        <f>Tabela_base[[#This Row],[Total Streams (in millions)]]-(Tabela_base[[#This Row],[Lead Streams (in millions)]]+Tabela_base[[#This Row],[Feature Streams (in millions)]])</f>
        <v>-5.3999999999996362</v>
      </c>
    </row>
    <row r="152" spans="1:19" x14ac:dyDescent="0.3">
      <c r="A152" s="20">
        <v>151</v>
      </c>
      <c r="B152" t="s">
        <v>227</v>
      </c>
      <c r="C152" t="s">
        <v>17</v>
      </c>
      <c r="D152" t="s">
        <v>18</v>
      </c>
      <c r="E152" t="s">
        <v>41</v>
      </c>
      <c r="F152" t="s">
        <v>65</v>
      </c>
      <c r="G152" t="s">
        <v>21</v>
      </c>
      <c r="H152">
        <v>2020</v>
      </c>
      <c r="I152">
        <v>8063.4</v>
      </c>
      <c r="J152">
        <v>5540.4</v>
      </c>
      <c r="K152" s="1">
        <v>0.68710000000000004</v>
      </c>
      <c r="L152">
        <v>2525</v>
      </c>
      <c r="M152" s="1">
        <v>0.31309999999999999</v>
      </c>
      <c r="N152">
        <v>3610.3</v>
      </c>
      <c r="O152" s="1">
        <v>0.44769999999999999</v>
      </c>
      <c r="P152">
        <v>4453.1000000000004</v>
      </c>
      <c r="Q152" s="1">
        <v>0.55230000000000001</v>
      </c>
      <c r="R15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52" s="2">
        <f>Tabela_base[[#This Row],[Total Streams (in millions)]]-(Tabela_base[[#This Row],[Lead Streams (in millions)]]+Tabela_base[[#This Row],[Feature Streams (in millions)]])</f>
        <v>-2</v>
      </c>
    </row>
    <row r="153" spans="1:19" x14ac:dyDescent="0.3">
      <c r="A153" s="20">
        <v>152</v>
      </c>
      <c r="B153" t="s">
        <v>228</v>
      </c>
      <c r="C153" t="s">
        <v>17</v>
      </c>
      <c r="D153" t="s">
        <v>18</v>
      </c>
      <c r="E153" t="s">
        <v>19</v>
      </c>
      <c r="F153" t="s">
        <v>29</v>
      </c>
      <c r="G153" t="s">
        <v>21</v>
      </c>
      <c r="H153">
        <v>2003</v>
      </c>
      <c r="I153">
        <v>14507.7</v>
      </c>
      <c r="J153">
        <v>10717.2</v>
      </c>
      <c r="K153" s="1">
        <v>0.73870000000000002</v>
      </c>
      <c r="L153">
        <v>3796.5</v>
      </c>
      <c r="M153" s="1">
        <v>0.26169999999999999</v>
      </c>
      <c r="N153">
        <v>12380.2</v>
      </c>
      <c r="O153" s="1">
        <v>0.85340000000000005</v>
      </c>
      <c r="P153">
        <v>2127.5</v>
      </c>
      <c r="Q153" s="1">
        <v>0.14660000000000001</v>
      </c>
      <c r="R15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53" s="2">
        <f>Tabela_base[[#This Row],[Total Streams (in millions)]]-(Tabela_base[[#This Row],[Lead Streams (in millions)]]+Tabela_base[[#This Row],[Feature Streams (in millions)]])</f>
        <v>-6</v>
      </c>
    </row>
    <row r="154" spans="1:19" x14ac:dyDescent="0.3">
      <c r="A154" s="20">
        <v>153</v>
      </c>
      <c r="B154" t="s">
        <v>229</v>
      </c>
      <c r="C154" t="s">
        <v>17</v>
      </c>
      <c r="D154" t="s">
        <v>18</v>
      </c>
      <c r="E154" t="s">
        <v>41</v>
      </c>
      <c r="F154" t="s">
        <v>42</v>
      </c>
      <c r="G154" t="s">
        <v>23</v>
      </c>
      <c r="H154">
        <v>2009</v>
      </c>
      <c r="I154">
        <v>29775.3</v>
      </c>
      <c r="J154">
        <v>8548.7000000000007</v>
      </c>
      <c r="K154" s="1">
        <v>0.28710000000000002</v>
      </c>
      <c r="L154">
        <v>21237.200000000001</v>
      </c>
      <c r="M154" s="1">
        <v>0.71319999999999995</v>
      </c>
      <c r="N154">
        <v>4615.8999999999996</v>
      </c>
      <c r="O154" s="1">
        <v>0.155</v>
      </c>
      <c r="P154">
        <v>25159.4</v>
      </c>
      <c r="Q154" s="1">
        <v>0.84499999999999997</v>
      </c>
      <c r="R15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54" s="2">
        <f>Tabela_base[[#This Row],[Total Streams (in millions)]]-(Tabela_base[[#This Row],[Lead Streams (in millions)]]+Tabela_base[[#This Row],[Feature Streams (in millions)]])</f>
        <v>-10.600000000002183</v>
      </c>
    </row>
    <row r="155" spans="1:19" x14ac:dyDescent="0.3">
      <c r="A155" s="20">
        <v>154</v>
      </c>
      <c r="B155" t="s">
        <v>230</v>
      </c>
      <c r="C155" t="s">
        <v>17</v>
      </c>
      <c r="D155" t="s">
        <v>103</v>
      </c>
      <c r="E155" t="s">
        <v>41</v>
      </c>
      <c r="F155" t="s">
        <v>42</v>
      </c>
      <c r="G155" t="s">
        <v>23</v>
      </c>
      <c r="H155">
        <v>2015</v>
      </c>
      <c r="I155">
        <v>34579.1</v>
      </c>
      <c r="J155">
        <v>18725.599999999999</v>
      </c>
      <c r="K155" s="1">
        <v>0.54149999999999998</v>
      </c>
      <c r="L155">
        <v>15774.1</v>
      </c>
      <c r="M155" s="1">
        <v>0.45619999999999999</v>
      </c>
      <c r="N155">
        <v>9877.2999999999993</v>
      </c>
      <c r="O155" s="1">
        <v>0.28560000000000002</v>
      </c>
      <c r="P155">
        <v>24701.8</v>
      </c>
      <c r="Q155" s="1">
        <v>0.71440000000000003</v>
      </c>
      <c r="R15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55" s="2">
        <f>Tabela_base[[#This Row],[Total Streams (in millions)]]-(Tabela_base[[#This Row],[Lead Streams (in millions)]]+Tabela_base[[#This Row],[Feature Streams (in millions)]])</f>
        <v>79.400000000001455</v>
      </c>
    </row>
    <row r="156" spans="1:19" x14ac:dyDescent="0.3">
      <c r="A156" s="20">
        <v>155</v>
      </c>
      <c r="B156" t="s">
        <v>231</v>
      </c>
      <c r="C156" t="s">
        <v>17</v>
      </c>
      <c r="D156" t="s">
        <v>113</v>
      </c>
      <c r="E156" t="s">
        <v>19</v>
      </c>
      <c r="F156" t="s">
        <v>55</v>
      </c>
      <c r="G156" t="s">
        <v>23</v>
      </c>
      <c r="H156">
        <v>2013</v>
      </c>
      <c r="I156">
        <v>8278.7000000000007</v>
      </c>
      <c r="J156">
        <v>4898.7</v>
      </c>
      <c r="K156" s="1">
        <v>0.5917</v>
      </c>
      <c r="L156">
        <v>3389.6</v>
      </c>
      <c r="M156" s="1">
        <v>0.40939999999999999</v>
      </c>
      <c r="N156">
        <v>53.5</v>
      </c>
      <c r="O156" s="1">
        <v>6.4999999999999997E-3</v>
      </c>
      <c r="P156">
        <v>8225.2000000000007</v>
      </c>
      <c r="Q156" s="1">
        <v>0.99350000000000005</v>
      </c>
      <c r="R15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56" s="2">
        <f>Tabela_base[[#This Row],[Total Streams (in millions)]]-(Tabela_base[[#This Row],[Lead Streams (in millions)]]+Tabela_base[[#This Row],[Feature Streams (in millions)]])</f>
        <v>-9.5999999999985448</v>
      </c>
    </row>
    <row r="157" spans="1:19" x14ac:dyDescent="0.3">
      <c r="A157" s="20">
        <v>156</v>
      </c>
      <c r="B157" t="s">
        <v>232</v>
      </c>
      <c r="C157" t="s">
        <v>17</v>
      </c>
      <c r="D157" t="s">
        <v>18</v>
      </c>
      <c r="E157" t="s">
        <v>19</v>
      </c>
      <c r="F157" t="s">
        <v>20</v>
      </c>
      <c r="G157" t="s">
        <v>23</v>
      </c>
      <c r="H157">
        <v>2014</v>
      </c>
      <c r="I157">
        <v>8564.5</v>
      </c>
      <c r="J157">
        <v>5566.1</v>
      </c>
      <c r="K157" s="1">
        <v>0.64990000000000003</v>
      </c>
      <c r="L157">
        <v>3001.4</v>
      </c>
      <c r="M157" s="1">
        <v>0.35039999999999999</v>
      </c>
      <c r="N157">
        <v>3239</v>
      </c>
      <c r="O157" s="1">
        <v>0.37819999999999998</v>
      </c>
      <c r="P157">
        <v>5325.5</v>
      </c>
      <c r="Q157" s="1">
        <v>0.62180000000000002</v>
      </c>
      <c r="R15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57" s="2">
        <f>Tabela_base[[#This Row],[Total Streams (in millions)]]-(Tabela_base[[#This Row],[Lead Streams (in millions)]]+Tabela_base[[#This Row],[Feature Streams (in millions)]])</f>
        <v>-3</v>
      </c>
    </row>
    <row r="158" spans="1:19" x14ac:dyDescent="0.3">
      <c r="A158" s="20">
        <v>157</v>
      </c>
      <c r="B158" t="s">
        <v>233</v>
      </c>
      <c r="C158" t="s">
        <v>17</v>
      </c>
      <c r="D158" t="s">
        <v>18</v>
      </c>
      <c r="E158" t="s">
        <v>19</v>
      </c>
      <c r="F158" t="s">
        <v>91</v>
      </c>
      <c r="G158" t="s">
        <v>21</v>
      </c>
      <c r="H158">
        <v>2007</v>
      </c>
      <c r="I158">
        <v>7326.6</v>
      </c>
      <c r="J158">
        <v>1671.1</v>
      </c>
      <c r="K158" s="1">
        <v>0.2281</v>
      </c>
      <c r="L158">
        <v>5664.1</v>
      </c>
      <c r="M158" s="1">
        <v>0.77310000000000001</v>
      </c>
      <c r="N158">
        <v>6816.6</v>
      </c>
      <c r="O158" s="1">
        <v>0.9304</v>
      </c>
      <c r="P158">
        <v>510</v>
      </c>
      <c r="Q158" s="1">
        <v>6.9599999999999995E-2</v>
      </c>
      <c r="R15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58" s="2">
        <f>Tabela_base[[#This Row],[Total Streams (in millions)]]-(Tabela_base[[#This Row],[Lead Streams (in millions)]]+Tabela_base[[#This Row],[Feature Streams (in millions)]])</f>
        <v>-8.6000000000003638</v>
      </c>
    </row>
    <row r="159" spans="1:19" x14ac:dyDescent="0.3">
      <c r="A159" s="20">
        <v>158</v>
      </c>
      <c r="B159" t="s">
        <v>234</v>
      </c>
      <c r="C159" t="s">
        <v>44</v>
      </c>
      <c r="D159" t="s">
        <v>25</v>
      </c>
      <c r="E159" t="s">
        <v>19</v>
      </c>
      <c r="F159" t="s">
        <v>29</v>
      </c>
      <c r="G159" t="s">
        <v>21</v>
      </c>
      <c r="H159">
        <v>1967</v>
      </c>
      <c r="I159">
        <v>16577.5</v>
      </c>
      <c r="J159">
        <v>16577.5</v>
      </c>
      <c r="K159" s="1">
        <v>1</v>
      </c>
      <c r="L159">
        <v>0.4</v>
      </c>
      <c r="M159" s="1">
        <v>0</v>
      </c>
      <c r="N159">
        <v>16567.400000000001</v>
      </c>
      <c r="O159" s="1">
        <v>0.99939999999999996</v>
      </c>
      <c r="P159">
        <v>10.1</v>
      </c>
      <c r="Q159" s="1">
        <v>5.9999999999999995E-4</v>
      </c>
      <c r="R15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59" s="2">
        <f>Tabela_base[[#This Row],[Total Streams (in millions)]]-(Tabela_base[[#This Row],[Lead Streams (in millions)]]+Tabela_base[[#This Row],[Feature Streams (in millions)]])</f>
        <v>-0.40000000000145519</v>
      </c>
    </row>
    <row r="160" spans="1:19" x14ac:dyDescent="0.3">
      <c r="A160" s="20">
        <v>159</v>
      </c>
      <c r="B160" t="s">
        <v>235</v>
      </c>
      <c r="C160" t="s">
        <v>17</v>
      </c>
      <c r="D160" t="s">
        <v>18</v>
      </c>
      <c r="E160" t="s">
        <v>19</v>
      </c>
      <c r="F160" t="s">
        <v>20</v>
      </c>
      <c r="G160" t="s">
        <v>23</v>
      </c>
      <c r="H160">
        <v>2007</v>
      </c>
      <c r="I160">
        <v>16366.1</v>
      </c>
      <c r="J160">
        <v>14784.2</v>
      </c>
      <c r="K160" s="1">
        <v>0.90329999999999999</v>
      </c>
      <c r="L160">
        <v>1492.7</v>
      </c>
      <c r="M160" s="1">
        <v>9.1200000000000003E-2</v>
      </c>
      <c r="N160">
        <v>4359.8</v>
      </c>
      <c r="O160" s="1">
        <v>0.26640000000000003</v>
      </c>
      <c r="P160">
        <v>12006.3</v>
      </c>
      <c r="Q160" s="1">
        <v>0.73360000000000003</v>
      </c>
      <c r="R16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60" s="2">
        <f>Tabela_base[[#This Row],[Total Streams (in millions)]]-(Tabela_base[[#This Row],[Lead Streams (in millions)]]+Tabela_base[[#This Row],[Feature Streams (in millions)]])</f>
        <v>89.199999999998909</v>
      </c>
    </row>
    <row r="161" spans="1:19" x14ac:dyDescent="0.3">
      <c r="A161" s="20">
        <v>160</v>
      </c>
      <c r="B161" t="s">
        <v>236</v>
      </c>
      <c r="C161" t="s">
        <v>49</v>
      </c>
      <c r="D161" t="s">
        <v>25</v>
      </c>
      <c r="E161" t="s">
        <v>19</v>
      </c>
      <c r="F161" t="s">
        <v>29</v>
      </c>
      <c r="G161" t="s">
        <v>21</v>
      </c>
      <c r="H161">
        <v>2009</v>
      </c>
      <c r="I161">
        <v>9401</v>
      </c>
      <c r="J161">
        <v>8691.5</v>
      </c>
      <c r="K161" s="1">
        <v>0.92449999999999999</v>
      </c>
      <c r="L161">
        <v>712.9</v>
      </c>
      <c r="M161" s="1">
        <v>7.5800000000000006E-2</v>
      </c>
      <c r="N161">
        <v>8081.2</v>
      </c>
      <c r="O161" s="1">
        <v>0.85960000000000003</v>
      </c>
      <c r="P161">
        <v>1319.8</v>
      </c>
      <c r="Q161" s="1">
        <v>0.1404</v>
      </c>
      <c r="R16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61" s="2">
        <f>Tabela_base[[#This Row],[Total Streams (in millions)]]-(Tabela_base[[#This Row],[Lead Streams (in millions)]]+Tabela_base[[#This Row],[Feature Streams (in millions)]])</f>
        <v>-3.3999999999996362</v>
      </c>
    </row>
    <row r="162" spans="1:19" x14ac:dyDescent="0.3">
      <c r="A162" s="20">
        <v>161</v>
      </c>
      <c r="B162" t="s">
        <v>237</v>
      </c>
      <c r="C162" t="s">
        <v>17</v>
      </c>
      <c r="D162" t="s">
        <v>18</v>
      </c>
      <c r="E162" t="s">
        <v>19</v>
      </c>
      <c r="F162" t="s">
        <v>171</v>
      </c>
      <c r="G162" t="s">
        <v>21</v>
      </c>
      <c r="H162">
        <v>2010</v>
      </c>
      <c r="I162">
        <v>9869.2999999999993</v>
      </c>
      <c r="J162">
        <v>6437</v>
      </c>
      <c r="K162" s="1">
        <v>0.6522</v>
      </c>
      <c r="L162">
        <v>3432.3</v>
      </c>
      <c r="M162" s="1">
        <v>0.3478</v>
      </c>
      <c r="N162">
        <v>4558.7</v>
      </c>
      <c r="O162" s="1">
        <v>0.46189999999999998</v>
      </c>
      <c r="P162">
        <v>5310.6</v>
      </c>
      <c r="Q162" s="1">
        <v>0.53810000000000002</v>
      </c>
      <c r="R16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62" s="2">
        <f>Tabela_base[[#This Row],[Total Streams (in millions)]]-(Tabela_base[[#This Row],[Lead Streams (in millions)]]+Tabela_base[[#This Row],[Feature Streams (in millions)]])</f>
        <v>0</v>
      </c>
    </row>
    <row r="163" spans="1:19" x14ac:dyDescent="0.3">
      <c r="A163" s="20">
        <v>162</v>
      </c>
      <c r="B163" t="s">
        <v>238</v>
      </c>
      <c r="C163" t="s">
        <v>17</v>
      </c>
      <c r="D163" t="s">
        <v>18</v>
      </c>
      <c r="E163" t="s">
        <v>19</v>
      </c>
      <c r="F163" t="s">
        <v>29</v>
      </c>
      <c r="G163" t="s">
        <v>21</v>
      </c>
      <c r="H163">
        <v>1994</v>
      </c>
      <c r="I163">
        <v>10571.1</v>
      </c>
      <c r="J163">
        <v>10570.2</v>
      </c>
      <c r="K163" s="1">
        <v>0.99990000000000001</v>
      </c>
      <c r="L163">
        <v>4.5</v>
      </c>
      <c r="M163" s="1">
        <v>4.0000000000000002E-4</v>
      </c>
      <c r="N163">
        <v>10555.6</v>
      </c>
      <c r="O163" s="1">
        <v>0.99850000000000005</v>
      </c>
      <c r="P163">
        <v>15.5</v>
      </c>
      <c r="Q163" s="1">
        <v>1.5E-3</v>
      </c>
      <c r="R16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63" s="2">
        <f>Tabela_base[[#This Row],[Total Streams (in millions)]]-(Tabela_base[[#This Row],[Lead Streams (in millions)]]+Tabela_base[[#This Row],[Feature Streams (in millions)]])</f>
        <v>-3.6000000000003638</v>
      </c>
    </row>
    <row r="164" spans="1:19" x14ac:dyDescent="0.3">
      <c r="A164" s="20">
        <v>163</v>
      </c>
      <c r="B164" t="s">
        <v>239</v>
      </c>
      <c r="C164" t="s">
        <v>17</v>
      </c>
      <c r="D164" t="s">
        <v>18</v>
      </c>
      <c r="E164" t="s">
        <v>19</v>
      </c>
      <c r="F164" t="s">
        <v>33</v>
      </c>
      <c r="G164" t="s">
        <v>23</v>
      </c>
      <c r="H164">
        <v>2011</v>
      </c>
      <c r="I164">
        <v>24807.4</v>
      </c>
      <c r="J164">
        <v>20425.400000000001</v>
      </c>
      <c r="K164" s="1">
        <v>0.82340000000000002</v>
      </c>
      <c r="L164">
        <v>4391.5</v>
      </c>
      <c r="M164" s="1">
        <v>0.17699999999999999</v>
      </c>
      <c r="N164">
        <v>18809.3</v>
      </c>
      <c r="O164" s="1">
        <v>0.75819999999999999</v>
      </c>
      <c r="P164">
        <v>5998.1</v>
      </c>
      <c r="Q164" s="1">
        <v>0.24179999999999999</v>
      </c>
      <c r="R16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64" s="2">
        <f>Tabela_base[[#This Row],[Total Streams (in millions)]]-(Tabela_base[[#This Row],[Lead Streams (in millions)]]+Tabela_base[[#This Row],[Feature Streams (in millions)]])</f>
        <v>-9.5</v>
      </c>
    </row>
    <row r="165" spans="1:19" x14ac:dyDescent="0.3">
      <c r="A165" s="20">
        <v>164</v>
      </c>
      <c r="B165" t="s">
        <v>240</v>
      </c>
      <c r="C165" t="s">
        <v>17</v>
      </c>
      <c r="D165" t="s">
        <v>18</v>
      </c>
      <c r="E165" t="s">
        <v>19</v>
      </c>
      <c r="F165" t="s">
        <v>46</v>
      </c>
      <c r="G165" t="s">
        <v>23</v>
      </c>
      <c r="H165">
        <v>1939</v>
      </c>
      <c r="I165">
        <v>12421.7</v>
      </c>
      <c r="J165">
        <v>11999.7</v>
      </c>
      <c r="K165" s="1">
        <v>0.96599999999999997</v>
      </c>
      <c r="L165">
        <v>421.9</v>
      </c>
      <c r="M165" s="1">
        <v>3.4000000000000002E-2</v>
      </c>
      <c r="N165">
        <v>9162.6</v>
      </c>
      <c r="O165" s="1">
        <v>0.73760000000000003</v>
      </c>
      <c r="P165">
        <v>3259.1</v>
      </c>
      <c r="Q165" s="1">
        <v>0.26240000000000002</v>
      </c>
      <c r="R16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65" s="2">
        <f>Tabela_base[[#This Row],[Total Streams (in millions)]]-(Tabela_base[[#This Row],[Lead Streams (in millions)]]+Tabela_base[[#This Row],[Feature Streams (in millions)]])</f>
        <v>0.1000000000003638</v>
      </c>
    </row>
    <row r="166" spans="1:19" x14ac:dyDescent="0.3">
      <c r="A166" s="20">
        <v>165</v>
      </c>
      <c r="B166" t="s">
        <v>241</v>
      </c>
      <c r="C166" t="s">
        <v>17</v>
      </c>
      <c r="D166" t="s">
        <v>242</v>
      </c>
      <c r="E166" t="s">
        <v>19</v>
      </c>
      <c r="F166" t="s">
        <v>20</v>
      </c>
      <c r="G166" t="s">
        <v>23</v>
      </c>
      <c r="H166">
        <v>2002</v>
      </c>
      <c r="I166">
        <v>11640.6</v>
      </c>
      <c r="J166">
        <v>6067.8</v>
      </c>
      <c r="K166" s="1">
        <v>0.52129999999999999</v>
      </c>
      <c r="L166">
        <v>5576.2</v>
      </c>
      <c r="M166" s="1">
        <v>0.47899999999999998</v>
      </c>
      <c r="N166">
        <v>325.2</v>
      </c>
      <c r="O166" s="1">
        <v>2.7900000000000001E-2</v>
      </c>
      <c r="P166">
        <v>11315.4</v>
      </c>
      <c r="Q166" s="1">
        <v>0.97209999999999996</v>
      </c>
      <c r="R16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66" s="2">
        <f>Tabela_base[[#This Row],[Total Streams (in millions)]]-(Tabela_base[[#This Row],[Lead Streams (in millions)]]+Tabela_base[[#This Row],[Feature Streams (in millions)]])</f>
        <v>-3.3999999999996362</v>
      </c>
    </row>
    <row r="167" spans="1:19" x14ac:dyDescent="0.3">
      <c r="A167" s="20">
        <v>166</v>
      </c>
      <c r="B167" t="s">
        <v>243</v>
      </c>
      <c r="C167" t="s">
        <v>17</v>
      </c>
      <c r="D167" t="s">
        <v>18</v>
      </c>
      <c r="E167" t="s">
        <v>41</v>
      </c>
      <c r="F167" t="s">
        <v>58</v>
      </c>
      <c r="G167" t="s">
        <v>21</v>
      </c>
      <c r="H167">
        <v>2018</v>
      </c>
      <c r="I167">
        <v>27466.799999999999</v>
      </c>
      <c r="J167">
        <v>19814.7</v>
      </c>
      <c r="K167" s="1">
        <v>0.72140000000000004</v>
      </c>
      <c r="L167">
        <v>7652.1</v>
      </c>
      <c r="M167" s="1">
        <v>0.27860000000000001</v>
      </c>
      <c r="N167">
        <v>11576.2</v>
      </c>
      <c r="O167" s="1">
        <v>0.42149999999999999</v>
      </c>
      <c r="P167">
        <v>15890.6</v>
      </c>
      <c r="Q167" s="1">
        <v>0.57850000000000001</v>
      </c>
      <c r="R16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67" s="2">
        <f>Tabela_base[[#This Row],[Total Streams (in millions)]]-(Tabela_base[[#This Row],[Lead Streams (in millions)]]+Tabela_base[[#This Row],[Feature Streams (in millions)]])</f>
        <v>0</v>
      </c>
    </row>
    <row r="168" spans="1:19" x14ac:dyDescent="0.3">
      <c r="A168" s="20">
        <v>167</v>
      </c>
      <c r="B168" t="s">
        <v>244</v>
      </c>
      <c r="C168" t="s">
        <v>17</v>
      </c>
      <c r="D168" t="s">
        <v>18</v>
      </c>
      <c r="E168" t="s">
        <v>19</v>
      </c>
      <c r="F168" t="s">
        <v>20</v>
      </c>
      <c r="G168" t="s">
        <v>23</v>
      </c>
      <c r="H168">
        <v>2010</v>
      </c>
      <c r="I168">
        <v>53951.5</v>
      </c>
      <c r="J168">
        <v>27879</v>
      </c>
      <c r="K168" s="1">
        <v>0.51670000000000005</v>
      </c>
      <c r="L168">
        <v>26072.5</v>
      </c>
      <c r="M168" s="1">
        <v>0.48330000000000001</v>
      </c>
      <c r="N168">
        <v>12647.5</v>
      </c>
      <c r="O168" s="1">
        <v>0.2344</v>
      </c>
      <c r="P168">
        <v>41304</v>
      </c>
      <c r="Q168" s="1">
        <v>0.76559999999999995</v>
      </c>
      <c r="R16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68" s="2">
        <f>Tabela_base[[#This Row],[Total Streams (in millions)]]-(Tabela_base[[#This Row],[Lead Streams (in millions)]]+Tabela_base[[#This Row],[Feature Streams (in millions)]])</f>
        <v>0</v>
      </c>
    </row>
    <row r="169" spans="1:19" x14ac:dyDescent="0.3">
      <c r="A169" s="20">
        <v>168</v>
      </c>
      <c r="B169" t="s">
        <v>245</v>
      </c>
      <c r="C169" t="s">
        <v>17</v>
      </c>
      <c r="D169" t="s">
        <v>57</v>
      </c>
      <c r="E169" t="s">
        <v>41</v>
      </c>
      <c r="F169" t="s">
        <v>65</v>
      </c>
      <c r="G169" t="s">
        <v>23</v>
      </c>
      <c r="H169">
        <v>2015</v>
      </c>
      <c r="I169">
        <v>9076.4</v>
      </c>
      <c r="J169">
        <v>3472</v>
      </c>
      <c r="K169" s="1">
        <v>0.38250000000000001</v>
      </c>
      <c r="L169">
        <v>5604.3</v>
      </c>
      <c r="M169" s="1">
        <v>0.61750000000000005</v>
      </c>
      <c r="N169">
        <v>752.1</v>
      </c>
      <c r="O169" s="1">
        <v>8.2900000000000001E-2</v>
      </c>
      <c r="P169">
        <v>8324.2999999999993</v>
      </c>
      <c r="Q169" s="1">
        <v>0.91710000000000003</v>
      </c>
      <c r="R16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69" s="2">
        <f>Tabela_base[[#This Row],[Total Streams (in millions)]]-(Tabela_base[[#This Row],[Lead Streams (in millions)]]+Tabela_base[[#This Row],[Feature Streams (in millions)]])</f>
        <v>0.1000000000003638</v>
      </c>
    </row>
    <row r="170" spans="1:19" x14ac:dyDescent="0.3">
      <c r="A170" s="20">
        <v>169</v>
      </c>
      <c r="B170" t="s">
        <v>246</v>
      </c>
      <c r="C170" t="s">
        <v>17</v>
      </c>
      <c r="D170" t="s">
        <v>18</v>
      </c>
      <c r="E170" t="s">
        <v>19</v>
      </c>
      <c r="F170" t="s">
        <v>20</v>
      </c>
      <c r="G170" t="s">
        <v>23</v>
      </c>
      <c r="H170">
        <v>2006</v>
      </c>
      <c r="I170">
        <v>15133</v>
      </c>
      <c r="J170">
        <v>11606.5</v>
      </c>
      <c r="K170" s="1">
        <v>0.76700000000000002</v>
      </c>
      <c r="L170">
        <v>3518.6</v>
      </c>
      <c r="M170" s="1">
        <v>0.23250000000000001</v>
      </c>
      <c r="N170">
        <v>1928.5</v>
      </c>
      <c r="O170" s="1">
        <v>0.12740000000000001</v>
      </c>
      <c r="P170">
        <v>13204.5</v>
      </c>
      <c r="Q170" s="1">
        <v>0.87260000000000004</v>
      </c>
      <c r="R17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70" s="2">
        <f>Tabela_base[[#This Row],[Total Streams (in millions)]]-(Tabela_base[[#This Row],[Lead Streams (in millions)]]+Tabela_base[[#This Row],[Feature Streams (in millions)]])</f>
        <v>7.8999999999996362</v>
      </c>
    </row>
    <row r="171" spans="1:19" x14ac:dyDescent="0.3">
      <c r="A171" s="20">
        <v>170</v>
      </c>
      <c r="B171" t="s">
        <v>247</v>
      </c>
      <c r="C171" t="s">
        <v>17</v>
      </c>
      <c r="D171" t="s">
        <v>248</v>
      </c>
      <c r="E171" t="s">
        <v>150</v>
      </c>
      <c r="F171" t="s">
        <v>20</v>
      </c>
      <c r="G171" t="s">
        <v>23</v>
      </c>
      <c r="H171">
        <v>2013</v>
      </c>
      <c r="I171">
        <v>8439.5</v>
      </c>
      <c r="J171">
        <v>6942.6</v>
      </c>
      <c r="K171" s="1">
        <v>0.8226</v>
      </c>
      <c r="L171">
        <v>1509.4</v>
      </c>
      <c r="M171" s="1">
        <v>0.17879999999999999</v>
      </c>
      <c r="N171">
        <v>3538.8</v>
      </c>
      <c r="O171" s="1">
        <v>0.41930000000000001</v>
      </c>
      <c r="P171">
        <v>4900.7</v>
      </c>
      <c r="Q171" s="1">
        <v>0.58069999999999999</v>
      </c>
      <c r="R17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71" s="2">
        <f>Tabela_base[[#This Row],[Total Streams (in millions)]]-(Tabela_base[[#This Row],[Lead Streams (in millions)]]+Tabela_base[[#This Row],[Feature Streams (in millions)]])</f>
        <v>-12.5</v>
      </c>
    </row>
    <row r="172" spans="1:19" x14ac:dyDescent="0.3">
      <c r="A172" s="20">
        <v>171</v>
      </c>
      <c r="B172" t="s">
        <v>249</v>
      </c>
      <c r="C172" t="s">
        <v>17</v>
      </c>
      <c r="D172" t="s">
        <v>18</v>
      </c>
      <c r="E172" t="s">
        <v>19</v>
      </c>
      <c r="F172" t="s">
        <v>33</v>
      </c>
      <c r="G172" t="s">
        <v>23</v>
      </c>
      <c r="H172">
        <v>2018</v>
      </c>
      <c r="I172">
        <v>9302.9</v>
      </c>
      <c r="J172">
        <v>5809.3</v>
      </c>
      <c r="K172" s="1">
        <v>0.62450000000000006</v>
      </c>
      <c r="L172">
        <v>3497.2</v>
      </c>
      <c r="M172" s="1">
        <v>0.37590000000000001</v>
      </c>
      <c r="N172">
        <v>5699</v>
      </c>
      <c r="O172" s="1">
        <v>0.61260000000000003</v>
      </c>
      <c r="P172">
        <v>3603.9</v>
      </c>
      <c r="Q172" s="1">
        <v>0.38740000000000002</v>
      </c>
      <c r="R17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72" s="2">
        <f>Tabela_base[[#This Row],[Total Streams (in millions)]]-(Tabela_base[[#This Row],[Lead Streams (in millions)]]+Tabela_base[[#This Row],[Feature Streams (in millions)]])</f>
        <v>-3.6000000000003638</v>
      </c>
    </row>
    <row r="173" spans="1:19" x14ac:dyDescent="0.3">
      <c r="A173" s="20">
        <v>172</v>
      </c>
      <c r="B173" t="s">
        <v>250</v>
      </c>
      <c r="C173" t="s">
        <v>17</v>
      </c>
      <c r="D173" t="s">
        <v>25</v>
      </c>
      <c r="E173" t="s">
        <v>19</v>
      </c>
      <c r="F173" t="s">
        <v>101</v>
      </c>
      <c r="G173" t="s">
        <v>21</v>
      </c>
      <c r="H173">
        <v>2012</v>
      </c>
      <c r="I173">
        <v>8591.1</v>
      </c>
      <c r="J173">
        <v>8578.7000000000007</v>
      </c>
      <c r="K173" s="1">
        <v>0.99860000000000004</v>
      </c>
      <c r="L173">
        <v>15.4</v>
      </c>
      <c r="M173" s="1">
        <v>1.8E-3</v>
      </c>
      <c r="N173">
        <v>7995.8</v>
      </c>
      <c r="O173" s="1">
        <v>0.93069999999999997</v>
      </c>
      <c r="P173">
        <v>595.29999999999995</v>
      </c>
      <c r="Q173" s="1">
        <v>6.93E-2</v>
      </c>
      <c r="R17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73" s="2">
        <f>Tabela_base[[#This Row],[Total Streams (in millions)]]-(Tabela_base[[#This Row],[Lead Streams (in millions)]]+Tabela_base[[#This Row],[Feature Streams (in millions)]])</f>
        <v>-3</v>
      </c>
    </row>
    <row r="174" spans="1:19" x14ac:dyDescent="0.3">
      <c r="A174" s="20">
        <v>173</v>
      </c>
      <c r="B174" t="s">
        <v>251</v>
      </c>
      <c r="C174" t="s">
        <v>17</v>
      </c>
      <c r="D174" t="s">
        <v>25</v>
      </c>
      <c r="E174" t="s">
        <v>19</v>
      </c>
      <c r="F174" t="s">
        <v>101</v>
      </c>
      <c r="G174" t="s">
        <v>21</v>
      </c>
      <c r="H174">
        <v>2001</v>
      </c>
      <c r="I174">
        <v>14104.4</v>
      </c>
      <c r="J174">
        <v>14087.5</v>
      </c>
      <c r="K174" s="1">
        <v>0.99880000000000002</v>
      </c>
      <c r="L174">
        <v>23.4</v>
      </c>
      <c r="M174" s="1">
        <v>1.6999999999999999E-3</v>
      </c>
      <c r="N174">
        <v>3963.9</v>
      </c>
      <c r="O174" s="1">
        <v>0.28100000000000003</v>
      </c>
      <c r="P174">
        <v>10140.5</v>
      </c>
      <c r="Q174" s="1">
        <v>0.71899999999999997</v>
      </c>
      <c r="R17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74" s="2">
        <f>Tabela_base[[#This Row],[Total Streams (in millions)]]-(Tabela_base[[#This Row],[Lead Streams (in millions)]]+Tabela_base[[#This Row],[Feature Streams (in millions)]])</f>
        <v>-6.5</v>
      </c>
    </row>
    <row r="175" spans="1:19" x14ac:dyDescent="0.3">
      <c r="A175" s="20">
        <v>174</v>
      </c>
      <c r="B175" t="s">
        <v>252</v>
      </c>
      <c r="C175" t="s">
        <v>49</v>
      </c>
      <c r="D175" t="s">
        <v>18</v>
      </c>
      <c r="E175" t="s">
        <v>19</v>
      </c>
      <c r="F175" t="s">
        <v>46</v>
      </c>
      <c r="G175" t="s">
        <v>23</v>
      </c>
      <c r="H175">
        <v>2019</v>
      </c>
      <c r="I175">
        <v>9797.7999999999993</v>
      </c>
      <c r="J175">
        <v>9279.7000000000007</v>
      </c>
      <c r="K175" s="1">
        <v>0.94710000000000005</v>
      </c>
      <c r="L175">
        <v>543.29999999999995</v>
      </c>
      <c r="M175" s="1">
        <v>5.5500000000000001E-2</v>
      </c>
      <c r="N175">
        <v>8953.2000000000007</v>
      </c>
      <c r="O175" s="1">
        <v>0.91379999999999995</v>
      </c>
      <c r="P175">
        <v>844.6</v>
      </c>
      <c r="Q175" s="1">
        <v>8.6199999999999999E-2</v>
      </c>
      <c r="R17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75" s="2">
        <f>Tabela_base[[#This Row],[Total Streams (in millions)]]-(Tabela_base[[#This Row],[Lead Streams (in millions)]]+Tabela_base[[#This Row],[Feature Streams (in millions)]])</f>
        <v>-25.200000000000728</v>
      </c>
    </row>
    <row r="176" spans="1:19" x14ac:dyDescent="0.3">
      <c r="A176" s="20">
        <v>175</v>
      </c>
      <c r="B176" t="s">
        <v>253</v>
      </c>
      <c r="C176" t="s">
        <v>17</v>
      </c>
      <c r="D176" t="s">
        <v>18</v>
      </c>
      <c r="E176" t="s">
        <v>19</v>
      </c>
      <c r="F176" t="s">
        <v>29</v>
      </c>
      <c r="G176" t="s">
        <v>21</v>
      </c>
      <c r="H176">
        <v>1990</v>
      </c>
      <c r="I176">
        <v>15453.3</v>
      </c>
      <c r="J176">
        <v>15342.6</v>
      </c>
      <c r="K176" s="1">
        <v>0.99280000000000002</v>
      </c>
      <c r="L176">
        <v>118.3</v>
      </c>
      <c r="M176" s="1">
        <v>7.7000000000000002E-3</v>
      </c>
      <c r="N176">
        <v>15333.7</v>
      </c>
      <c r="O176" s="1">
        <v>0.99229999999999996</v>
      </c>
      <c r="P176">
        <v>119.6</v>
      </c>
      <c r="Q176" s="1">
        <v>7.7000000000000002E-3</v>
      </c>
      <c r="R17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76" s="2">
        <f>Tabela_base[[#This Row],[Total Streams (in millions)]]-(Tabela_base[[#This Row],[Lead Streams (in millions)]]+Tabela_base[[#This Row],[Feature Streams (in millions)]])</f>
        <v>-7.6000000000003638</v>
      </c>
    </row>
    <row r="177" spans="1:19" x14ac:dyDescent="0.3">
      <c r="A177" s="20">
        <v>176</v>
      </c>
      <c r="B177" t="s">
        <v>254</v>
      </c>
      <c r="C177" t="s">
        <v>17</v>
      </c>
      <c r="D177" t="s">
        <v>57</v>
      </c>
      <c r="E177" t="s">
        <v>41</v>
      </c>
      <c r="F177" t="s">
        <v>65</v>
      </c>
      <c r="G177" t="s">
        <v>21</v>
      </c>
      <c r="H177">
        <v>2014</v>
      </c>
      <c r="I177">
        <v>12151.3</v>
      </c>
      <c r="J177">
        <v>8589.7999999999993</v>
      </c>
      <c r="K177" s="1">
        <v>0.70689999999999997</v>
      </c>
      <c r="L177">
        <v>3569.6</v>
      </c>
      <c r="M177" s="1">
        <v>0.29380000000000001</v>
      </c>
      <c r="N177">
        <v>2705.2</v>
      </c>
      <c r="O177" s="1">
        <v>0.22259999999999999</v>
      </c>
      <c r="P177">
        <v>9446.1</v>
      </c>
      <c r="Q177" s="1">
        <v>0.77739999999999998</v>
      </c>
      <c r="R17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77" s="2">
        <f>Tabela_base[[#This Row],[Total Streams (in millions)]]-(Tabela_base[[#This Row],[Lead Streams (in millions)]]+Tabela_base[[#This Row],[Feature Streams (in millions)]])</f>
        <v>-8.1000000000003638</v>
      </c>
    </row>
    <row r="178" spans="1:19" x14ac:dyDescent="0.3">
      <c r="A178" s="20">
        <v>177</v>
      </c>
      <c r="B178" t="s">
        <v>255</v>
      </c>
      <c r="C178" t="s">
        <v>17</v>
      </c>
      <c r="D178" t="s">
        <v>18</v>
      </c>
      <c r="E178" t="s">
        <v>41</v>
      </c>
      <c r="F178" t="s">
        <v>65</v>
      </c>
      <c r="G178" t="s">
        <v>21</v>
      </c>
      <c r="H178">
        <v>2022</v>
      </c>
      <c r="I178">
        <v>13999.3</v>
      </c>
      <c r="J178">
        <v>8094.6</v>
      </c>
      <c r="K178" s="1">
        <v>0.57820000000000005</v>
      </c>
      <c r="L178">
        <v>5914.6</v>
      </c>
      <c r="M178" s="1">
        <v>0.42249999999999999</v>
      </c>
      <c r="N178">
        <v>2001.5</v>
      </c>
      <c r="O178" s="1">
        <v>0.14299999999999999</v>
      </c>
      <c r="P178">
        <v>11997.8</v>
      </c>
      <c r="Q178" s="1">
        <v>0.85699999999999998</v>
      </c>
      <c r="R17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78" s="2">
        <f>Tabela_base[[#This Row],[Total Streams (in millions)]]-(Tabela_base[[#This Row],[Lead Streams (in millions)]]+Tabela_base[[#This Row],[Feature Streams (in millions)]])</f>
        <v>-9.9000000000014552</v>
      </c>
    </row>
    <row r="179" spans="1:19" x14ac:dyDescent="0.3">
      <c r="A179" s="20">
        <v>178</v>
      </c>
      <c r="B179" t="s">
        <v>256</v>
      </c>
      <c r="C179" t="s">
        <v>17</v>
      </c>
      <c r="D179" t="s">
        <v>57</v>
      </c>
      <c r="E179" t="s">
        <v>41</v>
      </c>
      <c r="F179" t="s">
        <v>65</v>
      </c>
      <c r="G179" t="s">
        <v>21</v>
      </c>
      <c r="H179">
        <v>2015</v>
      </c>
      <c r="I179">
        <v>7123.4</v>
      </c>
      <c r="J179">
        <v>5595.9</v>
      </c>
      <c r="K179" s="1">
        <v>0.78559999999999997</v>
      </c>
      <c r="L179">
        <v>1527.5</v>
      </c>
      <c r="M179" s="1">
        <v>0.21440000000000001</v>
      </c>
      <c r="N179">
        <v>3002</v>
      </c>
      <c r="O179" s="1">
        <v>0.4214</v>
      </c>
      <c r="P179">
        <v>4121.3999999999996</v>
      </c>
      <c r="Q179" s="1">
        <v>0.5786</v>
      </c>
      <c r="R17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79" s="2">
        <f>Tabela_base[[#This Row],[Total Streams (in millions)]]-(Tabela_base[[#This Row],[Lead Streams (in millions)]]+Tabela_base[[#This Row],[Feature Streams (in millions)]])</f>
        <v>0</v>
      </c>
    </row>
    <row r="180" spans="1:19" x14ac:dyDescent="0.3">
      <c r="A180" s="20">
        <v>179</v>
      </c>
      <c r="B180" t="s">
        <v>257</v>
      </c>
      <c r="C180" t="s">
        <v>17</v>
      </c>
      <c r="D180" t="s">
        <v>70</v>
      </c>
      <c r="E180" t="s">
        <v>71</v>
      </c>
      <c r="F180" t="s">
        <v>58</v>
      </c>
      <c r="G180" t="s">
        <v>21</v>
      </c>
      <c r="H180">
        <v>2016</v>
      </c>
      <c r="I180">
        <v>7277.6</v>
      </c>
      <c r="J180">
        <v>6836.9</v>
      </c>
      <c r="K180" s="1">
        <v>0.93940000000000001</v>
      </c>
      <c r="L180">
        <v>455.9</v>
      </c>
      <c r="M180" s="1">
        <v>6.2600000000000003E-2</v>
      </c>
      <c r="N180">
        <v>3003</v>
      </c>
      <c r="O180" s="1">
        <v>0.41260000000000002</v>
      </c>
      <c r="P180">
        <v>4274.6000000000004</v>
      </c>
      <c r="Q180" s="1">
        <v>0.58740000000000003</v>
      </c>
      <c r="R18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80" s="2">
        <f>Tabela_base[[#This Row],[Total Streams (in millions)]]-(Tabela_base[[#This Row],[Lead Streams (in millions)]]+Tabela_base[[#This Row],[Feature Streams (in millions)]])</f>
        <v>-15.199999999998909</v>
      </c>
    </row>
    <row r="181" spans="1:19" x14ac:dyDescent="0.3">
      <c r="A181" s="20">
        <v>180</v>
      </c>
      <c r="B181" t="s">
        <v>258</v>
      </c>
      <c r="C181" t="s">
        <v>17</v>
      </c>
      <c r="D181" t="s">
        <v>18</v>
      </c>
      <c r="E181" t="s">
        <v>19</v>
      </c>
      <c r="F181" t="s">
        <v>20</v>
      </c>
      <c r="G181" t="s">
        <v>23</v>
      </c>
      <c r="H181">
        <v>2005</v>
      </c>
      <c r="I181">
        <v>14880.2</v>
      </c>
      <c r="J181">
        <v>7106.1</v>
      </c>
      <c r="K181" s="1">
        <v>0.47760000000000002</v>
      </c>
      <c r="L181">
        <v>7779.1</v>
      </c>
      <c r="M181" s="1">
        <v>0.52280000000000004</v>
      </c>
      <c r="N181">
        <v>1618.8</v>
      </c>
      <c r="O181" s="1">
        <v>0.10879999999999999</v>
      </c>
      <c r="P181">
        <v>13261.4</v>
      </c>
      <c r="Q181" s="1">
        <v>0.89119999999999999</v>
      </c>
      <c r="R18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81" s="2">
        <f>Tabela_base[[#This Row],[Total Streams (in millions)]]-(Tabela_base[[#This Row],[Lead Streams (in millions)]]+Tabela_base[[#This Row],[Feature Streams (in millions)]])</f>
        <v>-5</v>
      </c>
    </row>
    <row r="182" spans="1:19" x14ac:dyDescent="0.3">
      <c r="A182" s="20">
        <v>181</v>
      </c>
      <c r="B182" t="s">
        <v>259</v>
      </c>
      <c r="C182" t="s">
        <v>17</v>
      </c>
      <c r="D182" t="s">
        <v>18</v>
      </c>
      <c r="E182" t="s">
        <v>19</v>
      </c>
      <c r="F182" t="s">
        <v>20</v>
      </c>
      <c r="G182" t="s">
        <v>23</v>
      </c>
      <c r="H182">
        <v>2013</v>
      </c>
      <c r="I182">
        <v>28195.8</v>
      </c>
      <c r="J182">
        <v>12491.3</v>
      </c>
      <c r="K182" s="1">
        <v>0.443</v>
      </c>
      <c r="L182">
        <v>15715.6</v>
      </c>
      <c r="M182" s="1">
        <v>0.55740000000000001</v>
      </c>
      <c r="N182">
        <v>7949.8</v>
      </c>
      <c r="O182" s="1">
        <v>0.28189999999999998</v>
      </c>
      <c r="P182">
        <v>20246</v>
      </c>
      <c r="Q182" s="1">
        <v>0.71809999999999996</v>
      </c>
      <c r="R18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82" s="2">
        <f>Tabela_base[[#This Row],[Total Streams (in millions)]]-(Tabela_base[[#This Row],[Lead Streams (in millions)]]+Tabela_base[[#This Row],[Feature Streams (in millions)]])</f>
        <v>-11.100000000002183</v>
      </c>
    </row>
    <row r="183" spans="1:19" x14ac:dyDescent="0.3">
      <c r="A183" s="20">
        <v>182</v>
      </c>
      <c r="B183" t="s">
        <v>260</v>
      </c>
      <c r="C183" t="s">
        <v>17</v>
      </c>
      <c r="D183" t="s">
        <v>18</v>
      </c>
      <c r="E183" t="s">
        <v>19</v>
      </c>
      <c r="F183" t="s">
        <v>29</v>
      </c>
      <c r="G183" t="s">
        <v>21</v>
      </c>
      <c r="H183">
        <v>1985</v>
      </c>
      <c r="I183">
        <v>13683</v>
      </c>
      <c r="J183">
        <v>13689.3</v>
      </c>
      <c r="K183" s="1">
        <v>1.0004999999999999</v>
      </c>
      <c r="L183">
        <v>0</v>
      </c>
      <c r="M183" s="1">
        <v>0</v>
      </c>
      <c r="N183">
        <v>13682.2</v>
      </c>
      <c r="O183" s="1">
        <v>0.99990000000000001</v>
      </c>
      <c r="P183">
        <v>0.8</v>
      </c>
      <c r="Q183" s="1">
        <v>1E-4</v>
      </c>
      <c r="R18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183" s="2">
        <f>Tabela_base[[#This Row],[Total Streams (in millions)]]-(Tabela_base[[#This Row],[Lead Streams (in millions)]]+Tabela_base[[#This Row],[Feature Streams (in millions)]])</f>
        <v>-6.2999999999992724</v>
      </c>
    </row>
    <row r="184" spans="1:19" x14ac:dyDescent="0.3">
      <c r="A184" s="20">
        <v>183</v>
      </c>
      <c r="B184" t="s">
        <v>261</v>
      </c>
      <c r="C184" t="s">
        <v>17</v>
      </c>
      <c r="D184" t="s">
        <v>70</v>
      </c>
      <c r="E184" t="s">
        <v>71</v>
      </c>
      <c r="F184" t="s">
        <v>76</v>
      </c>
      <c r="G184" t="s">
        <v>23</v>
      </c>
      <c r="H184">
        <v>2009</v>
      </c>
      <c r="I184">
        <v>12324.9</v>
      </c>
      <c r="J184">
        <v>10393.6</v>
      </c>
      <c r="K184" s="1">
        <v>0.84330000000000005</v>
      </c>
      <c r="L184">
        <v>1924.7</v>
      </c>
      <c r="M184" s="1">
        <v>0.15620000000000001</v>
      </c>
      <c r="N184">
        <v>8841.9</v>
      </c>
      <c r="O184" s="1">
        <v>0.71740000000000004</v>
      </c>
      <c r="P184">
        <v>3483</v>
      </c>
      <c r="Q184" s="1">
        <v>0.28260000000000002</v>
      </c>
      <c r="R18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84" s="2">
        <f>Tabela_base[[#This Row],[Total Streams (in millions)]]-(Tabela_base[[#This Row],[Lead Streams (in millions)]]+Tabela_base[[#This Row],[Feature Streams (in millions)]])</f>
        <v>6.5999999999985448</v>
      </c>
    </row>
    <row r="185" spans="1:19" x14ac:dyDescent="0.3">
      <c r="A185" s="20">
        <v>184</v>
      </c>
      <c r="B185" t="s">
        <v>262</v>
      </c>
      <c r="C185" t="s">
        <v>49</v>
      </c>
      <c r="D185" t="s">
        <v>18</v>
      </c>
      <c r="E185" t="s">
        <v>19</v>
      </c>
      <c r="F185" t="s">
        <v>33</v>
      </c>
      <c r="G185" t="s">
        <v>23</v>
      </c>
      <c r="H185">
        <v>2016</v>
      </c>
      <c r="I185">
        <v>7608.2</v>
      </c>
      <c r="J185">
        <v>3801.5</v>
      </c>
      <c r="K185" s="1">
        <v>0.49969999999999998</v>
      </c>
      <c r="L185">
        <v>3806.7</v>
      </c>
      <c r="M185" s="1">
        <v>0.50029999999999997</v>
      </c>
      <c r="N185">
        <v>2191.8000000000002</v>
      </c>
      <c r="O185" s="1">
        <v>0.28810000000000002</v>
      </c>
      <c r="P185">
        <v>5416.4</v>
      </c>
      <c r="Q185" s="1">
        <v>0.71189999999999998</v>
      </c>
      <c r="R18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85" s="2">
        <f>Tabela_base[[#This Row],[Total Streams (in millions)]]-(Tabela_base[[#This Row],[Lead Streams (in millions)]]+Tabela_base[[#This Row],[Feature Streams (in millions)]])</f>
        <v>0</v>
      </c>
    </row>
    <row r="186" spans="1:19" x14ac:dyDescent="0.3">
      <c r="A186" s="20">
        <v>185</v>
      </c>
      <c r="B186" t="s">
        <v>263</v>
      </c>
      <c r="C186" t="s">
        <v>49</v>
      </c>
      <c r="D186" t="s">
        <v>18</v>
      </c>
      <c r="E186" t="s">
        <v>19</v>
      </c>
      <c r="F186" t="s">
        <v>46</v>
      </c>
      <c r="G186" t="s">
        <v>23</v>
      </c>
      <c r="H186">
        <v>2014</v>
      </c>
      <c r="I186">
        <v>25687.5</v>
      </c>
      <c r="J186">
        <v>13902.2</v>
      </c>
      <c r="K186" s="1">
        <v>0.54120000000000001</v>
      </c>
      <c r="L186">
        <v>11792.3</v>
      </c>
      <c r="M186" s="1">
        <v>0.45910000000000001</v>
      </c>
      <c r="N186">
        <v>12376.1</v>
      </c>
      <c r="O186" s="1">
        <v>0.48180000000000001</v>
      </c>
      <c r="P186">
        <v>13311.4</v>
      </c>
      <c r="Q186" s="1">
        <v>0.51819999999999999</v>
      </c>
      <c r="R18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86" s="2">
        <f>Tabela_base[[#This Row],[Total Streams (in millions)]]-(Tabela_base[[#This Row],[Lead Streams (in millions)]]+Tabela_base[[#This Row],[Feature Streams (in millions)]])</f>
        <v>-7</v>
      </c>
    </row>
    <row r="187" spans="1:19" x14ac:dyDescent="0.3">
      <c r="A187" s="20">
        <v>186</v>
      </c>
      <c r="B187" t="s">
        <v>264</v>
      </c>
      <c r="C187" t="s">
        <v>17</v>
      </c>
      <c r="D187" t="s">
        <v>113</v>
      </c>
      <c r="E187" t="s">
        <v>114</v>
      </c>
      <c r="F187" t="s">
        <v>203</v>
      </c>
      <c r="G187" t="s">
        <v>23</v>
      </c>
      <c r="H187">
        <v>1977</v>
      </c>
      <c r="I187">
        <v>8906.9</v>
      </c>
      <c r="J187">
        <v>8155.5</v>
      </c>
      <c r="K187" s="1">
        <v>0.91559999999999997</v>
      </c>
      <c r="L187">
        <v>751.4</v>
      </c>
      <c r="M187" s="1">
        <v>8.4400000000000003E-2</v>
      </c>
      <c r="N187">
        <v>5041.5</v>
      </c>
      <c r="O187" s="1">
        <v>0.56599999999999995</v>
      </c>
      <c r="P187">
        <v>3865.4</v>
      </c>
      <c r="Q187" s="1">
        <v>0.434</v>
      </c>
      <c r="R18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87" s="2">
        <f>Tabela_base[[#This Row],[Total Streams (in millions)]]-(Tabela_base[[#This Row],[Lead Streams (in millions)]]+Tabela_base[[#This Row],[Feature Streams (in millions)]])</f>
        <v>0</v>
      </c>
    </row>
    <row r="188" spans="1:19" x14ac:dyDescent="0.3">
      <c r="A188" s="20">
        <v>187</v>
      </c>
      <c r="B188" t="s">
        <v>265</v>
      </c>
      <c r="C188" t="s">
        <v>17</v>
      </c>
      <c r="D188" t="s">
        <v>25</v>
      </c>
      <c r="E188" t="s">
        <v>19</v>
      </c>
      <c r="F188" t="s">
        <v>46</v>
      </c>
      <c r="G188" t="s">
        <v>23</v>
      </c>
      <c r="H188">
        <v>2010</v>
      </c>
      <c r="I188">
        <v>29449</v>
      </c>
      <c r="J188">
        <v>29462.799999999999</v>
      </c>
      <c r="K188" s="1">
        <v>1.0004999999999999</v>
      </c>
      <c r="L188">
        <v>0</v>
      </c>
      <c r="M188" s="1">
        <v>0</v>
      </c>
      <c r="N188">
        <v>29449</v>
      </c>
      <c r="O188" s="1">
        <v>1</v>
      </c>
      <c r="P188">
        <v>0</v>
      </c>
      <c r="Q188" s="1">
        <v>0</v>
      </c>
      <c r="R18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188" s="2">
        <f>Tabela_base[[#This Row],[Total Streams (in millions)]]-(Tabela_base[[#This Row],[Lead Streams (in millions)]]+Tabela_base[[#This Row],[Feature Streams (in millions)]])</f>
        <v>-13.799999999999272</v>
      </c>
    </row>
    <row r="189" spans="1:19" x14ac:dyDescent="0.3">
      <c r="A189" s="20">
        <v>188</v>
      </c>
      <c r="B189" t="s">
        <v>266</v>
      </c>
      <c r="C189" t="s">
        <v>17</v>
      </c>
      <c r="D189" t="s">
        <v>70</v>
      </c>
      <c r="E189" t="s">
        <v>71</v>
      </c>
      <c r="F189" t="s">
        <v>76</v>
      </c>
      <c r="G189" t="s">
        <v>21</v>
      </c>
      <c r="H189">
        <v>2008</v>
      </c>
      <c r="I189">
        <v>19231.7</v>
      </c>
      <c r="J189">
        <v>15881.4</v>
      </c>
      <c r="K189" s="1">
        <v>0.82579999999999998</v>
      </c>
      <c r="L189">
        <v>3360.5</v>
      </c>
      <c r="M189" s="1">
        <v>0.17469999999999999</v>
      </c>
      <c r="N189">
        <v>15399.4</v>
      </c>
      <c r="O189" s="1">
        <v>0.80069999999999997</v>
      </c>
      <c r="P189">
        <v>3832.3</v>
      </c>
      <c r="Q189" s="1">
        <v>0.1993</v>
      </c>
      <c r="R18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89" s="2">
        <f>Tabela_base[[#This Row],[Total Streams (in millions)]]-(Tabela_base[[#This Row],[Lead Streams (in millions)]]+Tabela_base[[#This Row],[Feature Streams (in millions)]])</f>
        <v>-10.200000000000728</v>
      </c>
    </row>
    <row r="190" spans="1:19" x14ac:dyDescent="0.3">
      <c r="A190" s="20">
        <v>189</v>
      </c>
      <c r="B190" t="s">
        <v>267</v>
      </c>
      <c r="C190" t="s">
        <v>17</v>
      </c>
      <c r="D190" t="s">
        <v>268</v>
      </c>
      <c r="E190" t="s">
        <v>19</v>
      </c>
      <c r="F190" t="s">
        <v>29</v>
      </c>
      <c r="G190" t="s">
        <v>23</v>
      </c>
      <c r="H190">
        <v>2013</v>
      </c>
      <c r="I190">
        <v>16556.5</v>
      </c>
      <c r="J190">
        <v>15920.4</v>
      </c>
      <c r="K190" s="1">
        <v>0.96160000000000001</v>
      </c>
      <c r="L190">
        <v>641.79999999999995</v>
      </c>
      <c r="M190" s="1">
        <v>3.8800000000000001E-2</v>
      </c>
      <c r="N190">
        <v>15519.5</v>
      </c>
      <c r="O190" s="1">
        <v>0.93740000000000001</v>
      </c>
      <c r="P190">
        <v>1037</v>
      </c>
      <c r="Q190" s="1">
        <v>6.2600000000000003E-2</v>
      </c>
      <c r="R19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90" s="2">
        <f>Tabela_base[[#This Row],[Total Streams (in millions)]]-(Tabela_base[[#This Row],[Lead Streams (in millions)]]+Tabela_base[[#This Row],[Feature Streams (in millions)]])</f>
        <v>-5.7000000000007276</v>
      </c>
    </row>
    <row r="191" spans="1:19" x14ac:dyDescent="0.3">
      <c r="A191" s="20">
        <v>190</v>
      </c>
      <c r="B191" t="s">
        <v>269</v>
      </c>
      <c r="C191" t="s">
        <v>17</v>
      </c>
      <c r="D191" t="s">
        <v>18</v>
      </c>
      <c r="E191" t="s">
        <v>19</v>
      </c>
      <c r="F191" t="s">
        <v>29</v>
      </c>
      <c r="G191" t="s">
        <v>21</v>
      </c>
      <c r="H191">
        <v>2012</v>
      </c>
      <c r="I191">
        <v>40279.5</v>
      </c>
      <c r="J191">
        <v>38006.699999999997</v>
      </c>
      <c r="K191" s="1">
        <v>0.94359999999999999</v>
      </c>
      <c r="L191">
        <v>2283.1999999999998</v>
      </c>
      <c r="M191" s="1">
        <v>5.67E-2</v>
      </c>
      <c r="N191">
        <v>33880.400000000001</v>
      </c>
      <c r="O191" s="1">
        <v>0.84109999999999996</v>
      </c>
      <c r="P191">
        <v>6399.1</v>
      </c>
      <c r="Q191" s="1">
        <v>0.15890000000000001</v>
      </c>
      <c r="R19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91" s="2">
        <f>Tabela_base[[#This Row],[Total Streams (in millions)]]-(Tabela_base[[#This Row],[Lead Streams (in millions)]]+Tabela_base[[#This Row],[Feature Streams (in millions)]])</f>
        <v>-10.399999999994179</v>
      </c>
    </row>
    <row r="192" spans="1:19" x14ac:dyDescent="0.3">
      <c r="A192" s="20">
        <v>191</v>
      </c>
      <c r="B192" t="s">
        <v>270</v>
      </c>
      <c r="C192" t="s">
        <v>17</v>
      </c>
      <c r="D192" t="s">
        <v>37</v>
      </c>
      <c r="E192" t="s">
        <v>68</v>
      </c>
      <c r="F192" t="s">
        <v>39</v>
      </c>
      <c r="G192" t="s">
        <v>23</v>
      </c>
      <c r="H192">
        <v>2004</v>
      </c>
      <c r="I192">
        <v>11014.9</v>
      </c>
      <c r="J192">
        <v>5793.9</v>
      </c>
      <c r="K192" s="1">
        <v>0.52600000000000002</v>
      </c>
      <c r="L192">
        <v>5236.3</v>
      </c>
      <c r="M192" s="1">
        <v>0.47539999999999999</v>
      </c>
      <c r="N192">
        <v>0</v>
      </c>
      <c r="O192" s="1">
        <v>0</v>
      </c>
      <c r="P192">
        <v>11014.9</v>
      </c>
      <c r="Q192" s="1">
        <v>1</v>
      </c>
      <c r="R19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92" s="2">
        <f>Tabela_base[[#This Row],[Total Streams (in millions)]]-(Tabela_base[[#This Row],[Lead Streams (in millions)]]+Tabela_base[[#This Row],[Feature Streams (in millions)]])</f>
        <v>-15.300000000001091</v>
      </c>
    </row>
    <row r="193" spans="1:19" x14ac:dyDescent="0.3">
      <c r="A193" s="20">
        <v>192</v>
      </c>
      <c r="B193" t="s">
        <v>271</v>
      </c>
      <c r="C193" t="s">
        <v>17</v>
      </c>
      <c r="D193" t="s">
        <v>103</v>
      </c>
      <c r="E193" t="s">
        <v>41</v>
      </c>
      <c r="F193" t="s">
        <v>42</v>
      </c>
      <c r="G193" t="s">
        <v>23</v>
      </c>
      <c r="H193">
        <v>2004</v>
      </c>
      <c r="I193">
        <v>54649.2</v>
      </c>
      <c r="J193">
        <v>25333.3</v>
      </c>
      <c r="K193" s="1">
        <v>0.46360000000000001</v>
      </c>
      <c r="L193">
        <v>29334</v>
      </c>
      <c r="M193" s="1">
        <v>0.53680000000000005</v>
      </c>
      <c r="N193">
        <v>7844.5</v>
      </c>
      <c r="O193" s="1">
        <v>0.14349999999999999</v>
      </c>
      <c r="P193">
        <v>46804.7</v>
      </c>
      <c r="Q193" s="1">
        <v>0.85650000000000004</v>
      </c>
      <c r="R19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93" s="2">
        <f>Tabela_base[[#This Row],[Total Streams (in millions)]]-(Tabela_base[[#This Row],[Lead Streams (in millions)]]+Tabela_base[[#This Row],[Feature Streams (in millions)]])</f>
        <v>-18.100000000005821</v>
      </c>
    </row>
    <row r="194" spans="1:19" x14ac:dyDescent="0.3">
      <c r="A194" s="20">
        <v>193</v>
      </c>
      <c r="B194" t="s">
        <v>272</v>
      </c>
      <c r="C194" t="s">
        <v>17</v>
      </c>
      <c r="D194" t="s">
        <v>18</v>
      </c>
      <c r="E194" t="s">
        <v>19</v>
      </c>
      <c r="F194" t="s">
        <v>20</v>
      </c>
      <c r="G194" t="s">
        <v>23</v>
      </c>
      <c r="H194">
        <v>2007</v>
      </c>
      <c r="I194">
        <v>32200.9</v>
      </c>
      <c r="J194">
        <v>24334.7</v>
      </c>
      <c r="K194" s="1">
        <v>0.75570000000000004</v>
      </c>
      <c r="L194">
        <v>7876.1</v>
      </c>
      <c r="M194" s="1">
        <v>0.24460000000000001</v>
      </c>
      <c r="N194">
        <v>18999.5</v>
      </c>
      <c r="O194" s="1">
        <v>0.59</v>
      </c>
      <c r="P194">
        <v>13201.4</v>
      </c>
      <c r="Q194" s="1">
        <v>0.41</v>
      </c>
      <c r="R19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94" s="2">
        <f>Tabela_base[[#This Row],[Total Streams (in millions)]]-(Tabela_base[[#This Row],[Lead Streams (in millions)]]+Tabela_base[[#This Row],[Feature Streams (in millions)]])</f>
        <v>-9.9000000000014552</v>
      </c>
    </row>
    <row r="195" spans="1:19" x14ac:dyDescent="0.3">
      <c r="A195" s="20">
        <v>194</v>
      </c>
      <c r="B195" t="s">
        <v>273</v>
      </c>
      <c r="C195" t="s">
        <v>17</v>
      </c>
      <c r="D195" t="s">
        <v>18</v>
      </c>
      <c r="E195" t="s">
        <v>19</v>
      </c>
      <c r="F195" t="s">
        <v>20</v>
      </c>
      <c r="G195" t="s">
        <v>23</v>
      </c>
      <c r="H195">
        <v>1996</v>
      </c>
      <c r="I195">
        <v>24440.1</v>
      </c>
      <c r="J195">
        <v>13311.3</v>
      </c>
      <c r="K195" s="1">
        <v>0.54459999999999997</v>
      </c>
      <c r="L195">
        <v>11139.9</v>
      </c>
      <c r="M195" s="1">
        <v>0.45579999999999998</v>
      </c>
      <c r="N195">
        <v>2764.3</v>
      </c>
      <c r="O195" s="1">
        <v>0.11310000000000001</v>
      </c>
      <c r="P195">
        <v>21675.8</v>
      </c>
      <c r="Q195" s="1">
        <v>0.88690000000000002</v>
      </c>
      <c r="R19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95" s="2">
        <f>Tabela_base[[#This Row],[Total Streams (in millions)]]-(Tabela_base[[#This Row],[Lead Streams (in millions)]]+Tabela_base[[#This Row],[Feature Streams (in millions)]])</f>
        <v>-11.099999999998545</v>
      </c>
    </row>
    <row r="196" spans="1:19" x14ac:dyDescent="0.3">
      <c r="A196" s="20">
        <v>195</v>
      </c>
      <c r="B196" t="s">
        <v>274</v>
      </c>
      <c r="C196" t="s">
        <v>17</v>
      </c>
      <c r="D196" t="s">
        <v>18</v>
      </c>
      <c r="E196" t="s">
        <v>19</v>
      </c>
      <c r="F196" t="s">
        <v>20</v>
      </c>
      <c r="G196" t="s">
        <v>23</v>
      </c>
      <c r="H196">
        <v>2015</v>
      </c>
      <c r="I196">
        <v>12751</v>
      </c>
      <c r="J196">
        <v>8481.6</v>
      </c>
      <c r="K196" s="1">
        <v>0.66520000000000001</v>
      </c>
      <c r="L196">
        <v>4272.5</v>
      </c>
      <c r="M196" s="1">
        <v>0.33510000000000001</v>
      </c>
      <c r="N196">
        <v>5659.8</v>
      </c>
      <c r="O196" s="1">
        <v>0.44390000000000002</v>
      </c>
      <c r="P196">
        <v>7091.2</v>
      </c>
      <c r="Q196" s="1">
        <v>0.55610000000000004</v>
      </c>
      <c r="R19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96" s="2">
        <f>Tabela_base[[#This Row],[Total Streams (in millions)]]-(Tabela_base[[#This Row],[Lead Streams (in millions)]]+Tabela_base[[#This Row],[Feature Streams (in millions)]])</f>
        <v>-3.1000000000003638</v>
      </c>
    </row>
    <row r="197" spans="1:19" x14ac:dyDescent="0.3">
      <c r="A197" s="20">
        <v>196</v>
      </c>
      <c r="B197" t="s">
        <v>275</v>
      </c>
      <c r="C197" t="s">
        <v>17</v>
      </c>
      <c r="D197" t="s">
        <v>18</v>
      </c>
      <c r="E197" t="s">
        <v>19</v>
      </c>
      <c r="F197" t="s">
        <v>29</v>
      </c>
      <c r="G197" t="s">
        <v>23</v>
      </c>
      <c r="H197">
        <v>2001</v>
      </c>
      <c r="I197">
        <v>8551.4</v>
      </c>
      <c r="J197">
        <v>8199.2999999999993</v>
      </c>
      <c r="K197" s="1">
        <v>0.95879999999999999</v>
      </c>
      <c r="L197">
        <v>355</v>
      </c>
      <c r="M197" s="1">
        <v>4.1500000000000002E-2</v>
      </c>
      <c r="N197">
        <v>7907.6</v>
      </c>
      <c r="O197" s="1">
        <v>0.92469999999999997</v>
      </c>
      <c r="P197">
        <v>643.79999999999995</v>
      </c>
      <c r="Q197" s="1">
        <v>7.5300000000000006E-2</v>
      </c>
      <c r="R19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97" s="2">
        <f>Tabela_base[[#This Row],[Total Streams (in millions)]]-(Tabela_base[[#This Row],[Lead Streams (in millions)]]+Tabela_base[[#This Row],[Feature Streams (in millions)]])</f>
        <v>-2.8999999999996362</v>
      </c>
    </row>
    <row r="198" spans="1:19" x14ac:dyDescent="0.3">
      <c r="A198" s="20">
        <v>197</v>
      </c>
      <c r="B198" t="s">
        <v>276</v>
      </c>
      <c r="C198" t="s">
        <v>17</v>
      </c>
      <c r="D198" t="s">
        <v>25</v>
      </c>
      <c r="E198" t="s">
        <v>19</v>
      </c>
      <c r="F198" t="s">
        <v>46</v>
      </c>
      <c r="G198" t="s">
        <v>23</v>
      </c>
      <c r="H198">
        <v>2012</v>
      </c>
      <c r="I198">
        <v>16111.6</v>
      </c>
      <c r="J198">
        <v>14817.7</v>
      </c>
      <c r="K198" s="1">
        <v>0.91969999999999996</v>
      </c>
      <c r="L198">
        <v>1297.5999999999999</v>
      </c>
      <c r="M198" s="1">
        <v>8.0500000000000002E-2</v>
      </c>
      <c r="N198">
        <v>12881.3</v>
      </c>
      <c r="O198" s="1">
        <v>0.79949999999999999</v>
      </c>
      <c r="P198">
        <v>3230.3</v>
      </c>
      <c r="Q198" s="1">
        <v>0.20050000000000001</v>
      </c>
      <c r="R19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98" s="2">
        <f>Tabela_base[[#This Row],[Total Streams (in millions)]]-(Tabela_base[[#This Row],[Lead Streams (in millions)]]+Tabela_base[[#This Row],[Feature Streams (in millions)]])</f>
        <v>-3.7000000000007276</v>
      </c>
    </row>
    <row r="199" spans="1:19" x14ac:dyDescent="0.3">
      <c r="A199" s="20">
        <v>198</v>
      </c>
      <c r="B199" t="s">
        <v>277</v>
      </c>
      <c r="C199" t="s">
        <v>17</v>
      </c>
      <c r="D199" t="s">
        <v>18</v>
      </c>
      <c r="E199" t="s">
        <v>19</v>
      </c>
      <c r="F199" t="s">
        <v>171</v>
      </c>
      <c r="G199" t="s">
        <v>23</v>
      </c>
      <c r="H199">
        <v>2005</v>
      </c>
      <c r="I199">
        <v>7423.5</v>
      </c>
      <c r="J199">
        <v>7117.2</v>
      </c>
      <c r="K199" s="1">
        <v>0.9587</v>
      </c>
      <c r="L199">
        <v>319.89999999999998</v>
      </c>
      <c r="M199" s="1">
        <v>4.3099999999999999E-2</v>
      </c>
      <c r="N199">
        <v>6510.5</v>
      </c>
      <c r="O199" s="1">
        <v>0.877</v>
      </c>
      <c r="P199">
        <v>913</v>
      </c>
      <c r="Q199" s="1">
        <v>0.123</v>
      </c>
      <c r="R19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199" s="2">
        <f>Tabela_base[[#This Row],[Total Streams (in millions)]]-(Tabela_base[[#This Row],[Lead Streams (in millions)]]+Tabela_base[[#This Row],[Feature Streams (in millions)]])</f>
        <v>-13.599999999999454</v>
      </c>
    </row>
    <row r="200" spans="1:19" x14ac:dyDescent="0.3">
      <c r="A200" s="20">
        <v>199</v>
      </c>
      <c r="B200" t="s">
        <v>278</v>
      </c>
      <c r="C200" t="s">
        <v>17</v>
      </c>
      <c r="D200" t="s">
        <v>18</v>
      </c>
      <c r="E200" t="s">
        <v>19</v>
      </c>
      <c r="F200" t="s">
        <v>46</v>
      </c>
      <c r="G200" t="s">
        <v>23</v>
      </c>
      <c r="H200">
        <v>2009</v>
      </c>
      <c r="I200">
        <v>17720.2</v>
      </c>
      <c r="J200">
        <v>13610.1</v>
      </c>
      <c r="K200" s="1">
        <v>0.7681</v>
      </c>
      <c r="L200">
        <v>4116.2</v>
      </c>
      <c r="M200" s="1">
        <v>0.23230000000000001</v>
      </c>
      <c r="N200">
        <v>8342.7000000000007</v>
      </c>
      <c r="O200" s="1">
        <v>0.4708</v>
      </c>
      <c r="P200">
        <v>9377.5</v>
      </c>
      <c r="Q200" s="1">
        <v>0.5292</v>
      </c>
      <c r="R20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00" s="2">
        <f>Tabela_base[[#This Row],[Total Streams (in millions)]]-(Tabela_base[[#This Row],[Lead Streams (in millions)]]+Tabela_base[[#This Row],[Feature Streams (in millions)]])</f>
        <v>-6.0999999999985448</v>
      </c>
    </row>
    <row r="201" spans="1:19" x14ac:dyDescent="0.3">
      <c r="A201" s="20">
        <v>200</v>
      </c>
      <c r="B201" t="s">
        <v>279</v>
      </c>
      <c r="C201" t="s">
        <v>17</v>
      </c>
      <c r="D201" t="s">
        <v>18</v>
      </c>
      <c r="E201" t="s">
        <v>19</v>
      </c>
      <c r="F201" t="s">
        <v>46</v>
      </c>
      <c r="G201" t="s">
        <v>23</v>
      </c>
      <c r="H201">
        <v>2002</v>
      </c>
      <c r="I201">
        <v>7048.5</v>
      </c>
      <c r="J201">
        <v>6851.4</v>
      </c>
      <c r="K201" s="1">
        <v>0.97199999999999998</v>
      </c>
      <c r="L201">
        <v>199.1</v>
      </c>
      <c r="M201" s="1">
        <v>2.8199999999999999E-2</v>
      </c>
      <c r="N201">
        <v>5805</v>
      </c>
      <c r="O201" s="1">
        <v>0.8236</v>
      </c>
      <c r="P201">
        <v>1243.5</v>
      </c>
      <c r="Q201" s="1">
        <v>0.1764</v>
      </c>
      <c r="R20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01" s="2">
        <f>Tabela_base[[#This Row],[Total Streams (in millions)]]-(Tabela_base[[#This Row],[Lead Streams (in millions)]]+Tabela_base[[#This Row],[Feature Streams (in millions)]])</f>
        <v>-2</v>
      </c>
    </row>
    <row r="202" spans="1:19" x14ac:dyDescent="0.3">
      <c r="A202" s="20">
        <v>201</v>
      </c>
      <c r="B202" t="s">
        <v>280</v>
      </c>
      <c r="C202" t="s">
        <v>17</v>
      </c>
      <c r="D202" t="s">
        <v>18</v>
      </c>
      <c r="E202" t="s">
        <v>41</v>
      </c>
      <c r="F202" t="s">
        <v>42</v>
      </c>
      <c r="G202" t="s">
        <v>23</v>
      </c>
      <c r="H202">
        <v>2019</v>
      </c>
      <c r="I202">
        <v>8282.2999999999993</v>
      </c>
      <c r="J202">
        <v>6707</v>
      </c>
      <c r="K202" s="1">
        <v>0.80979999999999996</v>
      </c>
      <c r="L202">
        <v>1607.4</v>
      </c>
      <c r="M202" s="1">
        <v>0.19409999999999999</v>
      </c>
      <c r="N202">
        <v>999.5</v>
      </c>
      <c r="O202" s="1">
        <v>0.1207</v>
      </c>
      <c r="P202">
        <v>7282.8</v>
      </c>
      <c r="Q202" s="1">
        <v>0.87929999999999997</v>
      </c>
      <c r="R20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02" s="2">
        <f>Tabela_base[[#This Row],[Total Streams (in millions)]]-(Tabela_base[[#This Row],[Lead Streams (in millions)]]+Tabela_base[[#This Row],[Feature Streams (in millions)]])</f>
        <v>-32.100000000000364</v>
      </c>
    </row>
    <row r="203" spans="1:19" x14ac:dyDescent="0.3">
      <c r="A203" s="20">
        <v>202</v>
      </c>
      <c r="B203" t="s">
        <v>281</v>
      </c>
      <c r="C203" t="s">
        <v>49</v>
      </c>
      <c r="D203" t="s">
        <v>124</v>
      </c>
      <c r="E203" t="s">
        <v>125</v>
      </c>
      <c r="F203" t="s">
        <v>126</v>
      </c>
      <c r="G203" t="s">
        <v>23</v>
      </c>
      <c r="H203">
        <v>2016</v>
      </c>
      <c r="I203">
        <v>8056.8</v>
      </c>
      <c r="J203">
        <v>4415.6000000000004</v>
      </c>
      <c r="K203" s="1">
        <v>0.54810000000000003</v>
      </c>
      <c r="L203">
        <v>3648.3</v>
      </c>
      <c r="M203" s="1">
        <v>0.45279999999999998</v>
      </c>
      <c r="N203">
        <v>3447</v>
      </c>
      <c r="O203" s="1">
        <v>0.42780000000000001</v>
      </c>
      <c r="P203">
        <v>4609.8</v>
      </c>
      <c r="Q203" s="1">
        <v>0.57220000000000004</v>
      </c>
      <c r="R20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03" s="2">
        <f>Tabela_base[[#This Row],[Total Streams (in millions)]]-(Tabela_base[[#This Row],[Lead Streams (in millions)]]+Tabela_base[[#This Row],[Feature Streams (in millions)]])</f>
        <v>-7.1000000000003638</v>
      </c>
    </row>
    <row r="204" spans="1:19" x14ac:dyDescent="0.3">
      <c r="A204" s="20">
        <v>203</v>
      </c>
      <c r="B204" t="s">
        <v>282</v>
      </c>
      <c r="C204" t="s">
        <v>49</v>
      </c>
      <c r="D204" t="s">
        <v>18</v>
      </c>
      <c r="E204" t="s">
        <v>19</v>
      </c>
      <c r="F204" t="s">
        <v>46</v>
      </c>
      <c r="G204" t="s">
        <v>23</v>
      </c>
      <c r="H204">
        <v>1999</v>
      </c>
      <c r="I204">
        <v>9115.7000000000007</v>
      </c>
      <c r="J204">
        <v>7543</v>
      </c>
      <c r="K204" s="1">
        <v>0.82750000000000001</v>
      </c>
      <c r="L204">
        <v>1578.6</v>
      </c>
      <c r="M204" s="1">
        <v>0.17319999999999999</v>
      </c>
      <c r="N204">
        <v>2706.2</v>
      </c>
      <c r="O204" s="1">
        <v>0.2969</v>
      </c>
      <c r="P204">
        <v>6409.5</v>
      </c>
      <c r="Q204" s="1">
        <v>0.70309999999999995</v>
      </c>
      <c r="R20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04" s="2">
        <f>Tabela_base[[#This Row],[Total Streams (in millions)]]-(Tabela_base[[#This Row],[Lead Streams (in millions)]]+Tabela_base[[#This Row],[Feature Streams (in millions)]])</f>
        <v>-5.8999999999996362</v>
      </c>
    </row>
    <row r="205" spans="1:19" x14ac:dyDescent="0.3">
      <c r="A205" s="20">
        <v>204</v>
      </c>
      <c r="B205" t="s">
        <v>283</v>
      </c>
      <c r="C205" t="s">
        <v>17</v>
      </c>
      <c r="D205" t="s">
        <v>18</v>
      </c>
      <c r="E205" t="s">
        <v>19</v>
      </c>
      <c r="F205" t="s">
        <v>33</v>
      </c>
      <c r="G205" t="s">
        <v>23</v>
      </c>
      <c r="H205">
        <v>2009</v>
      </c>
      <c r="I205">
        <v>9713</v>
      </c>
      <c r="J205">
        <v>5586.8</v>
      </c>
      <c r="K205" s="1">
        <v>0.57520000000000004</v>
      </c>
      <c r="L205">
        <v>4126.1000000000004</v>
      </c>
      <c r="M205" s="1">
        <v>0.42480000000000001</v>
      </c>
      <c r="N205">
        <v>2334.8000000000002</v>
      </c>
      <c r="O205" s="1">
        <v>0.2404</v>
      </c>
      <c r="P205">
        <v>7378.2</v>
      </c>
      <c r="Q205" s="1">
        <v>0.75960000000000005</v>
      </c>
      <c r="R20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05" s="2">
        <f>Tabela_base[[#This Row],[Total Streams (in millions)]]-(Tabela_base[[#This Row],[Lead Streams (in millions)]]+Tabela_base[[#This Row],[Feature Streams (in millions)]])</f>
        <v>9.9999999998544808E-2</v>
      </c>
    </row>
    <row r="206" spans="1:19" x14ac:dyDescent="0.3">
      <c r="A206" s="20">
        <v>205</v>
      </c>
      <c r="B206" t="s">
        <v>284</v>
      </c>
      <c r="C206" t="s">
        <v>49</v>
      </c>
      <c r="D206" t="s">
        <v>25</v>
      </c>
      <c r="E206" t="s">
        <v>19</v>
      </c>
      <c r="F206" t="s">
        <v>46</v>
      </c>
      <c r="G206" t="s">
        <v>23</v>
      </c>
      <c r="H206">
        <v>2014</v>
      </c>
      <c r="I206">
        <v>8019.9</v>
      </c>
      <c r="J206">
        <v>3097.3</v>
      </c>
      <c r="K206" s="1">
        <v>0.38619999999999999</v>
      </c>
      <c r="L206">
        <v>4922.6000000000004</v>
      </c>
      <c r="M206" s="1">
        <v>0.61380000000000001</v>
      </c>
      <c r="N206">
        <v>2755.3</v>
      </c>
      <c r="O206" s="1">
        <v>0.34360000000000002</v>
      </c>
      <c r="P206">
        <v>5264.6</v>
      </c>
      <c r="Q206" s="1">
        <v>0.65639999999999998</v>
      </c>
      <c r="R20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06" s="2">
        <f>Tabela_base[[#This Row],[Total Streams (in millions)]]-(Tabela_base[[#This Row],[Lead Streams (in millions)]]+Tabela_base[[#This Row],[Feature Streams (in millions)]])</f>
        <v>0</v>
      </c>
    </row>
    <row r="207" spans="1:19" x14ac:dyDescent="0.3">
      <c r="A207" s="20">
        <v>206</v>
      </c>
      <c r="B207" t="s">
        <v>285</v>
      </c>
      <c r="C207" t="s">
        <v>17</v>
      </c>
      <c r="D207" t="s">
        <v>18</v>
      </c>
      <c r="E207" t="s">
        <v>41</v>
      </c>
      <c r="F207" t="s">
        <v>42</v>
      </c>
      <c r="G207" t="s">
        <v>23</v>
      </c>
      <c r="H207">
        <v>2017</v>
      </c>
      <c r="I207">
        <v>17516.099999999999</v>
      </c>
      <c r="J207">
        <v>16311.4</v>
      </c>
      <c r="K207" s="1">
        <v>0.93120000000000003</v>
      </c>
      <c r="L207">
        <v>1210.7</v>
      </c>
      <c r="M207" s="1">
        <v>6.9099999999999995E-2</v>
      </c>
      <c r="N207">
        <v>2137.8000000000002</v>
      </c>
      <c r="O207" s="1">
        <v>0.122</v>
      </c>
      <c r="P207">
        <v>15378.3</v>
      </c>
      <c r="Q207" s="1">
        <v>0.878</v>
      </c>
      <c r="R20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07" s="2">
        <f>Tabela_base[[#This Row],[Total Streams (in millions)]]-(Tabela_base[[#This Row],[Lead Streams (in millions)]]+Tabela_base[[#This Row],[Feature Streams (in millions)]])</f>
        <v>-6</v>
      </c>
    </row>
    <row r="208" spans="1:19" x14ac:dyDescent="0.3">
      <c r="A208" s="20">
        <v>207</v>
      </c>
      <c r="B208" t="s">
        <v>286</v>
      </c>
      <c r="C208" t="s">
        <v>49</v>
      </c>
      <c r="D208" t="s">
        <v>18</v>
      </c>
      <c r="E208" t="s">
        <v>19</v>
      </c>
      <c r="F208" t="s">
        <v>33</v>
      </c>
      <c r="G208" t="s">
        <v>23</v>
      </c>
      <c r="H208">
        <v>2002</v>
      </c>
      <c r="I208">
        <v>10731.7</v>
      </c>
      <c r="J208">
        <v>6224.9</v>
      </c>
      <c r="K208" s="1">
        <v>0.57999999999999996</v>
      </c>
      <c r="L208">
        <v>4506.8</v>
      </c>
      <c r="M208" s="1">
        <v>0.42</v>
      </c>
      <c r="N208">
        <v>3239.2</v>
      </c>
      <c r="O208" s="1">
        <v>0.30180000000000001</v>
      </c>
      <c r="P208">
        <v>7492.5</v>
      </c>
      <c r="Q208" s="1">
        <v>0.69820000000000004</v>
      </c>
      <c r="R20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08" s="2">
        <f>Tabela_base[[#This Row],[Total Streams (in millions)]]-(Tabela_base[[#This Row],[Lead Streams (in millions)]]+Tabela_base[[#This Row],[Feature Streams (in millions)]])</f>
        <v>0</v>
      </c>
    </row>
    <row r="209" spans="1:19" x14ac:dyDescent="0.3">
      <c r="A209" s="20">
        <v>208</v>
      </c>
      <c r="B209" t="s">
        <v>287</v>
      </c>
      <c r="C209" t="s">
        <v>17</v>
      </c>
      <c r="D209" t="s">
        <v>18</v>
      </c>
      <c r="E209" t="s">
        <v>19</v>
      </c>
      <c r="F209" t="s">
        <v>20</v>
      </c>
      <c r="G209" t="s">
        <v>23</v>
      </c>
      <c r="H209">
        <v>2010</v>
      </c>
      <c r="I209">
        <v>7073.7</v>
      </c>
      <c r="J209">
        <v>2882.3</v>
      </c>
      <c r="K209" s="1">
        <v>0.40749999999999997</v>
      </c>
      <c r="L209">
        <v>4191.3999999999996</v>
      </c>
      <c r="M209" s="1">
        <v>0.59250000000000003</v>
      </c>
      <c r="N209">
        <v>1158.3</v>
      </c>
      <c r="O209" s="1">
        <v>0.16370000000000001</v>
      </c>
      <c r="P209">
        <v>5915.4</v>
      </c>
      <c r="Q209" s="1">
        <v>0.83630000000000004</v>
      </c>
      <c r="R20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09" s="2">
        <f>Tabela_base[[#This Row],[Total Streams (in millions)]]-(Tabela_base[[#This Row],[Lead Streams (in millions)]]+Tabela_base[[#This Row],[Feature Streams (in millions)]])</f>
        <v>0</v>
      </c>
    </row>
    <row r="210" spans="1:19" x14ac:dyDescent="0.3">
      <c r="A210" s="20">
        <v>209</v>
      </c>
      <c r="B210" t="s">
        <v>288</v>
      </c>
      <c r="C210" t="s">
        <v>17</v>
      </c>
      <c r="D210" t="s">
        <v>124</v>
      </c>
      <c r="E210" t="s">
        <v>125</v>
      </c>
      <c r="F210" t="s">
        <v>126</v>
      </c>
      <c r="G210" t="s">
        <v>23</v>
      </c>
      <c r="H210">
        <v>2013</v>
      </c>
      <c r="I210">
        <v>8472.9</v>
      </c>
      <c r="J210">
        <v>7819.3</v>
      </c>
      <c r="K210" s="1">
        <v>0.92290000000000005</v>
      </c>
      <c r="L210">
        <v>656.6</v>
      </c>
      <c r="M210" s="1">
        <v>7.7499999999999999E-2</v>
      </c>
      <c r="N210">
        <v>6967.6</v>
      </c>
      <c r="O210" s="1">
        <v>0.82230000000000003</v>
      </c>
      <c r="P210">
        <v>1505.3</v>
      </c>
      <c r="Q210" s="1">
        <v>0.1777</v>
      </c>
      <c r="R21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10" s="2">
        <f>Tabela_base[[#This Row],[Total Streams (in millions)]]-(Tabela_base[[#This Row],[Lead Streams (in millions)]]+Tabela_base[[#This Row],[Feature Streams (in millions)]])</f>
        <v>-3</v>
      </c>
    </row>
    <row r="211" spans="1:19" x14ac:dyDescent="0.3">
      <c r="A211" s="20">
        <v>210</v>
      </c>
      <c r="B211" t="s">
        <v>289</v>
      </c>
      <c r="C211" t="s">
        <v>17</v>
      </c>
      <c r="D211" t="s">
        <v>57</v>
      </c>
      <c r="E211" t="s">
        <v>41</v>
      </c>
      <c r="F211" t="s">
        <v>65</v>
      </c>
      <c r="G211" t="s">
        <v>23</v>
      </c>
      <c r="H211">
        <v>1975</v>
      </c>
      <c r="I211">
        <v>8622.1</v>
      </c>
      <c r="J211">
        <v>8534</v>
      </c>
      <c r="K211" s="1">
        <v>0.98980000000000001</v>
      </c>
      <c r="L211">
        <v>98.1</v>
      </c>
      <c r="M211" s="1">
        <v>1.14E-2</v>
      </c>
      <c r="N211">
        <v>7271</v>
      </c>
      <c r="O211" s="1">
        <v>0.84330000000000005</v>
      </c>
      <c r="P211">
        <v>1351.1</v>
      </c>
      <c r="Q211" s="1">
        <v>0.15670000000000001</v>
      </c>
      <c r="R21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11" s="2">
        <f>Tabela_base[[#This Row],[Total Streams (in millions)]]-(Tabela_base[[#This Row],[Lead Streams (in millions)]]+Tabela_base[[#This Row],[Feature Streams (in millions)]])</f>
        <v>-10</v>
      </c>
    </row>
    <row r="212" spans="1:19" x14ac:dyDescent="0.3">
      <c r="A212" s="20">
        <v>211</v>
      </c>
      <c r="B212" t="s">
        <v>290</v>
      </c>
      <c r="C212" t="s">
        <v>17</v>
      </c>
      <c r="D212" t="s">
        <v>18</v>
      </c>
      <c r="E212" t="s">
        <v>19</v>
      </c>
      <c r="F212" t="s">
        <v>33</v>
      </c>
      <c r="G212" t="s">
        <v>23</v>
      </c>
      <c r="H212">
        <v>2004</v>
      </c>
      <c r="I212">
        <v>11821.6</v>
      </c>
      <c r="J212">
        <v>7454.6</v>
      </c>
      <c r="K212" s="1">
        <v>0.63060000000000005</v>
      </c>
      <c r="L212">
        <v>4369.1000000000004</v>
      </c>
      <c r="M212" s="1">
        <v>0.36959999999999998</v>
      </c>
      <c r="N212">
        <v>5783.2</v>
      </c>
      <c r="O212" s="1">
        <v>0.48920000000000002</v>
      </c>
      <c r="P212">
        <v>6038.4</v>
      </c>
      <c r="Q212" s="1">
        <v>0.51080000000000003</v>
      </c>
      <c r="R21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12" s="2">
        <f>Tabela_base[[#This Row],[Total Streams (in millions)]]-(Tabela_base[[#This Row],[Lead Streams (in millions)]]+Tabela_base[[#This Row],[Feature Streams (in millions)]])</f>
        <v>-2.1000000000003638</v>
      </c>
    </row>
    <row r="213" spans="1:19" x14ac:dyDescent="0.3">
      <c r="A213" s="20">
        <v>212</v>
      </c>
      <c r="B213" t="s">
        <v>291</v>
      </c>
      <c r="C213" t="s">
        <v>17</v>
      </c>
      <c r="D213" t="s">
        <v>18</v>
      </c>
      <c r="E213" t="s">
        <v>19</v>
      </c>
      <c r="F213" t="s">
        <v>46</v>
      </c>
      <c r="G213" t="s">
        <v>23</v>
      </c>
      <c r="H213">
        <v>1999</v>
      </c>
      <c r="I213">
        <v>13208.3</v>
      </c>
      <c r="J213">
        <v>12134.4</v>
      </c>
      <c r="K213" s="1">
        <v>0.91869999999999996</v>
      </c>
      <c r="L213">
        <v>1076.8</v>
      </c>
      <c r="M213" s="1">
        <v>8.1500000000000003E-2</v>
      </c>
      <c r="N213">
        <v>11821.4</v>
      </c>
      <c r="O213" s="1">
        <v>0.89500000000000002</v>
      </c>
      <c r="P213">
        <v>1386.9</v>
      </c>
      <c r="Q213" s="1">
        <v>0.105</v>
      </c>
      <c r="R21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13" s="2">
        <f>Tabela_base[[#This Row],[Total Streams (in millions)]]-(Tabela_base[[#This Row],[Lead Streams (in millions)]]+Tabela_base[[#This Row],[Feature Streams (in millions)]])</f>
        <v>-2.8999999999996362</v>
      </c>
    </row>
    <row r="214" spans="1:19" x14ac:dyDescent="0.3">
      <c r="A214" s="20">
        <v>213</v>
      </c>
      <c r="B214" t="s">
        <v>292</v>
      </c>
      <c r="C214" t="s">
        <v>17</v>
      </c>
      <c r="D214" t="s">
        <v>18</v>
      </c>
      <c r="E214" t="s">
        <v>19</v>
      </c>
      <c r="F214" t="s">
        <v>171</v>
      </c>
      <c r="G214" t="s">
        <v>23</v>
      </c>
      <c r="H214">
        <v>1955</v>
      </c>
      <c r="I214">
        <v>7450.6</v>
      </c>
      <c r="J214">
        <v>6491.8</v>
      </c>
      <c r="K214" s="1">
        <v>0.87129999999999996</v>
      </c>
      <c r="L214">
        <v>961.4</v>
      </c>
      <c r="M214" s="1">
        <v>0.129</v>
      </c>
      <c r="N214">
        <v>5866.4</v>
      </c>
      <c r="O214" s="1">
        <v>0.78739999999999999</v>
      </c>
      <c r="P214">
        <v>1584.2</v>
      </c>
      <c r="Q214" s="1">
        <v>0.21260000000000001</v>
      </c>
      <c r="R21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14" s="2">
        <f>Tabela_base[[#This Row],[Total Streams (in millions)]]-(Tabela_base[[#This Row],[Lead Streams (in millions)]]+Tabela_base[[#This Row],[Feature Streams (in millions)]])</f>
        <v>-2.5999999999994543</v>
      </c>
    </row>
    <row r="215" spans="1:19" x14ac:dyDescent="0.3">
      <c r="A215" s="20">
        <v>214</v>
      </c>
      <c r="B215" t="s">
        <v>293</v>
      </c>
      <c r="C215" t="s">
        <v>17</v>
      </c>
      <c r="D215" t="s">
        <v>294</v>
      </c>
      <c r="E215" t="s">
        <v>19</v>
      </c>
      <c r="F215" t="s">
        <v>33</v>
      </c>
      <c r="G215" t="s">
        <v>23</v>
      </c>
      <c r="H215">
        <v>2017</v>
      </c>
      <c r="I215">
        <v>14512.1</v>
      </c>
      <c r="J215">
        <v>13579.3</v>
      </c>
      <c r="K215" s="1">
        <v>0.93569999999999998</v>
      </c>
      <c r="L215">
        <v>938.4</v>
      </c>
      <c r="M215" s="1">
        <v>6.4699999999999994E-2</v>
      </c>
      <c r="N215">
        <v>12111.7</v>
      </c>
      <c r="O215" s="1">
        <v>0.83460000000000001</v>
      </c>
      <c r="P215">
        <v>2400.4</v>
      </c>
      <c r="Q215" s="1">
        <v>0.16539999999999999</v>
      </c>
      <c r="R21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15" s="2">
        <f>Tabela_base[[#This Row],[Total Streams (in millions)]]-(Tabela_base[[#This Row],[Lead Streams (in millions)]]+Tabela_base[[#This Row],[Feature Streams (in millions)]])</f>
        <v>-5.5999999999985448</v>
      </c>
    </row>
    <row r="216" spans="1:19" x14ac:dyDescent="0.3">
      <c r="A216" s="20">
        <v>215</v>
      </c>
      <c r="B216" t="s">
        <v>295</v>
      </c>
      <c r="C216" t="s">
        <v>17</v>
      </c>
      <c r="D216" t="s">
        <v>25</v>
      </c>
      <c r="E216" t="s">
        <v>19</v>
      </c>
      <c r="F216" t="s">
        <v>55</v>
      </c>
      <c r="G216" t="s">
        <v>23</v>
      </c>
      <c r="H216">
        <v>2015</v>
      </c>
      <c r="I216">
        <v>9206.7000000000007</v>
      </c>
      <c r="J216">
        <v>7645.1</v>
      </c>
      <c r="K216" s="1">
        <v>0.83040000000000003</v>
      </c>
      <c r="L216">
        <v>1564.1</v>
      </c>
      <c r="M216" s="1">
        <v>0.1699</v>
      </c>
      <c r="N216">
        <v>36.4</v>
      </c>
      <c r="O216" s="1">
        <v>4.0000000000000001E-3</v>
      </c>
      <c r="P216">
        <v>9170.2999999999993</v>
      </c>
      <c r="Q216" s="1">
        <v>0.996</v>
      </c>
      <c r="R21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16" s="2">
        <f>Tabela_base[[#This Row],[Total Streams (in millions)]]-(Tabela_base[[#This Row],[Lead Streams (in millions)]]+Tabela_base[[#This Row],[Feature Streams (in millions)]])</f>
        <v>-2.5</v>
      </c>
    </row>
    <row r="217" spans="1:19" x14ac:dyDescent="0.3">
      <c r="A217" s="20">
        <v>216</v>
      </c>
      <c r="B217" t="s">
        <v>296</v>
      </c>
      <c r="C217" t="s">
        <v>17</v>
      </c>
      <c r="D217" t="s">
        <v>18</v>
      </c>
      <c r="E217" t="s">
        <v>19</v>
      </c>
      <c r="F217" t="s">
        <v>46</v>
      </c>
      <c r="G217" t="s">
        <v>21</v>
      </c>
      <c r="H217">
        <v>2006</v>
      </c>
      <c r="I217">
        <v>8909.9</v>
      </c>
      <c r="J217">
        <v>6844.4</v>
      </c>
      <c r="K217" s="1">
        <v>0.76819999999999999</v>
      </c>
      <c r="L217">
        <v>2067.6999999999998</v>
      </c>
      <c r="M217" s="1">
        <v>0.2321</v>
      </c>
      <c r="N217">
        <v>6517.9</v>
      </c>
      <c r="O217" s="1">
        <v>0.73150000000000004</v>
      </c>
      <c r="P217">
        <v>2392</v>
      </c>
      <c r="Q217" s="1">
        <v>0.26850000000000002</v>
      </c>
      <c r="R21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17" s="2">
        <f>Tabela_base[[#This Row],[Total Streams (in millions)]]-(Tabela_base[[#This Row],[Lead Streams (in millions)]]+Tabela_base[[#This Row],[Feature Streams (in millions)]])</f>
        <v>-2.1999999999989086</v>
      </c>
    </row>
    <row r="218" spans="1:19" x14ac:dyDescent="0.3">
      <c r="A218" s="20">
        <v>217</v>
      </c>
      <c r="B218" t="s">
        <v>297</v>
      </c>
      <c r="C218" t="s">
        <v>17</v>
      </c>
      <c r="D218" t="s">
        <v>70</v>
      </c>
      <c r="E218" t="s">
        <v>71</v>
      </c>
      <c r="F218" t="s">
        <v>76</v>
      </c>
      <c r="G218" t="s">
        <v>21</v>
      </c>
      <c r="H218">
        <v>2007</v>
      </c>
      <c r="I218">
        <v>14404.4</v>
      </c>
      <c r="J218">
        <v>11024</v>
      </c>
      <c r="K218" s="1">
        <v>0.76529999999999998</v>
      </c>
      <c r="L218">
        <v>3391.4</v>
      </c>
      <c r="M218" s="1">
        <v>0.2354</v>
      </c>
      <c r="N218">
        <v>10484.4</v>
      </c>
      <c r="O218" s="1">
        <v>0.72789999999999999</v>
      </c>
      <c r="P218">
        <v>3920</v>
      </c>
      <c r="Q218" s="1">
        <v>0.27210000000000001</v>
      </c>
      <c r="R21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18" s="2">
        <f>Tabela_base[[#This Row],[Total Streams (in millions)]]-(Tabela_base[[#This Row],[Lead Streams (in millions)]]+Tabela_base[[#This Row],[Feature Streams (in millions)]])</f>
        <v>-11</v>
      </c>
    </row>
    <row r="219" spans="1:19" x14ac:dyDescent="0.3">
      <c r="A219" s="20">
        <v>218</v>
      </c>
      <c r="B219" t="s">
        <v>298</v>
      </c>
      <c r="C219" t="s">
        <v>17</v>
      </c>
      <c r="D219" t="s">
        <v>57</v>
      </c>
      <c r="E219" t="s">
        <v>41</v>
      </c>
      <c r="F219" t="s">
        <v>58</v>
      </c>
      <c r="G219" t="s">
        <v>23</v>
      </c>
      <c r="H219">
        <v>1971</v>
      </c>
      <c r="I219">
        <v>7059.2</v>
      </c>
      <c r="J219">
        <v>6505.8</v>
      </c>
      <c r="K219" s="1">
        <v>0.92159999999999997</v>
      </c>
      <c r="L219">
        <v>557.1</v>
      </c>
      <c r="M219" s="1">
        <v>7.8899999999999998E-2</v>
      </c>
      <c r="N219">
        <v>5676.3</v>
      </c>
      <c r="O219" s="1">
        <v>0.80410000000000004</v>
      </c>
      <c r="P219">
        <v>1382.9</v>
      </c>
      <c r="Q219" s="1">
        <v>0.19589999999999999</v>
      </c>
      <c r="R21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19" s="2">
        <f>Tabela_base[[#This Row],[Total Streams (in millions)]]-(Tabela_base[[#This Row],[Lead Streams (in millions)]]+Tabela_base[[#This Row],[Feature Streams (in millions)]])</f>
        <v>-3.7000000000007276</v>
      </c>
    </row>
    <row r="220" spans="1:19" x14ac:dyDescent="0.3">
      <c r="A220" s="20">
        <v>219</v>
      </c>
      <c r="B220" t="s">
        <v>299</v>
      </c>
      <c r="C220" t="s">
        <v>17</v>
      </c>
      <c r="D220" t="s">
        <v>103</v>
      </c>
      <c r="E220" t="s">
        <v>41</v>
      </c>
      <c r="F220" t="s">
        <v>58</v>
      </c>
      <c r="G220" t="s">
        <v>23</v>
      </c>
      <c r="H220">
        <v>1988</v>
      </c>
      <c r="I220">
        <v>9121.6</v>
      </c>
      <c r="J220">
        <v>4954.8</v>
      </c>
      <c r="K220" s="1">
        <v>0.54320000000000002</v>
      </c>
      <c r="L220">
        <v>4166.8</v>
      </c>
      <c r="M220" s="1">
        <v>0.45679999999999998</v>
      </c>
      <c r="N220">
        <v>4039.5</v>
      </c>
      <c r="O220" s="1">
        <v>0.44280000000000003</v>
      </c>
      <c r="P220">
        <v>5082.1000000000004</v>
      </c>
      <c r="Q220" s="1">
        <v>0.55720000000000003</v>
      </c>
      <c r="R22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20" s="2">
        <f>Tabela_base[[#This Row],[Total Streams (in millions)]]-(Tabela_base[[#This Row],[Lead Streams (in millions)]]+Tabela_base[[#This Row],[Feature Streams (in millions)]])</f>
        <v>0</v>
      </c>
    </row>
    <row r="221" spans="1:19" x14ac:dyDescent="0.3">
      <c r="A221" s="20">
        <v>220</v>
      </c>
      <c r="B221" t="s">
        <v>300</v>
      </c>
      <c r="C221" t="s">
        <v>17</v>
      </c>
      <c r="D221" t="s">
        <v>18</v>
      </c>
      <c r="E221" t="s">
        <v>19</v>
      </c>
      <c r="F221" t="s">
        <v>20</v>
      </c>
      <c r="G221" t="s">
        <v>23</v>
      </c>
      <c r="H221">
        <v>2015</v>
      </c>
      <c r="I221">
        <v>46276.4</v>
      </c>
      <c r="J221">
        <v>34132.1</v>
      </c>
      <c r="K221" s="1">
        <v>0.73760000000000003</v>
      </c>
      <c r="L221">
        <v>12155.1</v>
      </c>
      <c r="M221" s="1">
        <v>0.26269999999999999</v>
      </c>
      <c r="N221">
        <v>26675.7</v>
      </c>
      <c r="O221" s="1">
        <v>0.57640000000000002</v>
      </c>
      <c r="P221">
        <v>19600.7</v>
      </c>
      <c r="Q221" s="1">
        <v>0.42359999999999998</v>
      </c>
      <c r="R22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21" s="2">
        <f>Tabela_base[[#This Row],[Total Streams (in millions)]]-(Tabela_base[[#This Row],[Lead Streams (in millions)]]+Tabela_base[[#This Row],[Feature Streams (in millions)]])</f>
        <v>-10.799999999995634</v>
      </c>
    </row>
    <row r="222" spans="1:19" x14ac:dyDescent="0.3">
      <c r="A222" s="20">
        <v>221</v>
      </c>
      <c r="B222" t="s">
        <v>301</v>
      </c>
      <c r="C222" t="s">
        <v>17</v>
      </c>
      <c r="D222" t="s">
        <v>18</v>
      </c>
      <c r="E222" t="s">
        <v>19</v>
      </c>
      <c r="F222" t="s">
        <v>20</v>
      </c>
      <c r="G222" t="s">
        <v>23</v>
      </c>
      <c r="H222">
        <v>1991</v>
      </c>
      <c r="I222">
        <v>8370.9</v>
      </c>
      <c r="J222">
        <v>1884.2</v>
      </c>
      <c r="K222" s="1">
        <v>0.22509999999999999</v>
      </c>
      <c r="L222">
        <v>6486.7</v>
      </c>
      <c r="M222" s="1">
        <v>0.77490000000000003</v>
      </c>
      <c r="N222">
        <v>175.8</v>
      </c>
      <c r="O222" s="1">
        <v>2.1000000000000001E-2</v>
      </c>
      <c r="P222">
        <v>8195.1</v>
      </c>
      <c r="Q222" s="1">
        <v>0.97899999999999998</v>
      </c>
      <c r="R22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22" s="2">
        <f>Tabela_base[[#This Row],[Total Streams (in millions)]]-(Tabela_base[[#This Row],[Lead Streams (in millions)]]+Tabela_base[[#This Row],[Feature Streams (in millions)]])</f>
        <v>0</v>
      </c>
    </row>
    <row r="223" spans="1:19" x14ac:dyDescent="0.3">
      <c r="A223" s="20">
        <v>222</v>
      </c>
      <c r="B223" t="s">
        <v>302</v>
      </c>
      <c r="C223" t="s">
        <v>17</v>
      </c>
      <c r="D223" t="s">
        <v>185</v>
      </c>
      <c r="E223" t="s">
        <v>150</v>
      </c>
      <c r="F223" t="s">
        <v>20</v>
      </c>
      <c r="G223" t="s">
        <v>23</v>
      </c>
      <c r="H223">
        <v>2013</v>
      </c>
      <c r="I223">
        <v>14127.8</v>
      </c>
      <c r="J223">
        <v>11142.3</v>
      </c>
      <c r="K223" s="1">
        <v>0.78869999999999996</v>
      </c>
      <c r="L223">
        <v>2993.2</v>
      </c>
      <c r="M223" s="1">
        <v>0.21190000000000001</v>
      </c>
      <c r="N223">
        <v>8903.2000000000007</v>
      </c>
      <c r="O223" s="1">
        <v>0.63019999999999998</v>
      </c>
      <c r="P223">
        <v>5224.6000000000004</v>
      </c>
      <c r="Q223" s="1">
        <v>0.36980000000000002</v>
      </c>
      <c r="R22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23" s="2">
        <f>Tabela_base[[#This Row],[Total Streams (in millions)]]-(Tabela_base[[#This Row],[Lead Streams (in millions)]]+Tabela_base[[#This Row],[Feature Streams (in millions)]])</f>
        <v>-7.7000000000007276</v>
      </c>
    </row>
    <row r="224" spans="1:19" x14ac:dyDescent="0.3">
      <c r="A224" s="20">
        <v>223</v>
      </c>
      <c r="B224" t="s">
        <v>303</v>
      </c>
      <c r="C224" t="s">
        <v>49</v>
      </c>
      <c r="D224" t="s">
        <v>18</v>
      </c>
      <c r="E224" t="s">
        <v>19</v>
      </c>
      <c r="F224" t="s">
        <v>46</v>
      </c>
      <c r="G224" t="s">
        <v>23</v>
      </c>
      <c r="H224">
        <v>2010</v>
      </c>
      <c r="I224">
        <v>8899.6</v>
      </c>
      <c r="J224">
        <v>4219.1000000000004</v>
      </c>
      <c r="K224" s="1">
        <v>0.47410000000000002</v>
      </c>
      <c r="L224">
        <v>4681.7</v>
      </c>
      <c r="M224" s="1">
        <v>0.52610000000000001</v>
      </c>
      <c r="N224">
        <v>2876.3</v>
      </c>
      <c r="O224" s="1">
        <v>0.32319999999999999</v>
      </c>
      <c r="P224">
        <v>6023.3</v>
      </c>
      <c r="Q224" s="1">
        <v>0.67679999999999996</v>
      </c>
      <c r="R22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24" s="2">
        <f>Tabela_base[[#This Row],[Total Streams (in millions)]]-(Tabela_base[[#This Row],[Lead Streams (in millions)]]+Tabela_base[[#This Row],[Feature Streams (in millions)]])</f>
        <v>-1.1999999999989086</v>
      </c>
    </row>
    <row r="225" spans="1:19" x14ac:dyDescent="0.3">
      <c r="A225" s="20">
        <v>224</v>
      </c>
      <c r="B225" t="s">
        <v>304</v>
      </c>
      <c r="C225" t="s">
        <v>17</v>
      </c>
      <c r="D225" t="s">
        <v>57</v>
      </c>
      <c r="E225" t="s">
        <v>41</v>
      </c>
      <c r="F225" t="s">
        <v>65</v>
      </c>
      <c r="G225" t="s">
        <v>21</v>
      </c>
      <c r="H225">
        <v>2007</v>
      </c>
      <c r="I225">
        <v>9503.2999999999993</v>
      </c>
      <c r="J225">
        <v>2467.8000000000002</v>
      </c>
      <c r="K225" s="1">
        <v>0.25969999999999999</v>
      </c>
      <c r="L225">
        <v>7045.9</v>
      </c>
      <c r="M225" s="1">
        <v>0.74139999999999995</v>
      </c>
      <c r="N225">
        <v>9278.4</v>
      </c>
      <c r="O225" s="1">
        <v>0.97629999999999995</v>
      </c>
      <c r="P225">
        <v>224.9</v>
      </c>
      <c r="Q225" s="1">
        <v>2.3699999999999999E-2</v>
      </c>
      <c r="R22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25" s="2">
        <f>Tabela_base[[#This Row],[Total Streams (in millions)]]-(Tabela_base[[#This Row],[Lead Streams (in millions)]]+Tabela_base[[#This Row],[Feature Streams (in millions)]])</f>
        <v>-10.400000000001455</v>
      </c>
    </row>
    <row r="226" spans="1:19" x14ac:dyDescent="0.3">
      <c r="A226" s="20">
        <v>225</v>
      </c>
      <c r="B226" t="s">
        <v>305</v>
      </c>
      <c r="C226" t="s">
        <v>17</v>
      </c>
      <c r="D226" t="s">
        <v>124</v>
      </c>
      <c r="E226" t="s">
        <v>125</v>
      </c>
      <c r="F226" t="s">
        <v>126</v>
      </c>
      <c r="G226" t="s">
        <v>23</v>
      </c>
      <c r="H226">
        <v>2013</v>
      </c>
      <c r="I226">
        <v>11232.6</v>
      </c>
      <c r="J226">
        <v>9653.7999999999993</v>
      </c>
      <c r="K226" s="1">
        <v>0.85940000000000005</v>
      </c>
      <c r="L226">
        <v>1583.7</v>
      </c>
      <c r="M226" s="1">
        <v>0.14099999999999999</v>
      </c>
      <c r="N226">
        <v>4076.4</v>
      </c>
      <c r="O226" s="1">
        <v>0.3629</v>
      </c>
      <c r="P226">
        <v>7156.2</v>
      </c>
      <c r="Q226" s="1">
        <v>0.6371</v>
      </c>
      <c r="R22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26" s="2">
        <f>Tabela_base[[#This Row],[Total Streams (in millions)]]-(Tabela_base[[#This Row],[Lead Streams (in millions)]]+Tabela_base[[#This Row],[Feature Streams (in millions)]])</f>
        <v>-4.8999999999996362</v>
      </c>
    </row>
    <row r="227" spans="1:19" x14ac:dyDescent="0.3">
      <c r="A227" s="20">
        <v>226</v>
      </c>
      <c r="B227" t="s">
        <v>306</v>
      </c>
      <c r="C227" t="s">
        <v>17</v>
      </c>
      <c r="D227" t="s">
        <v>57</v>
      </c>
      <c r="E227" t="s">
        <v>41</v>
      </c>
      <c r="F227" t="s">
        <v>65</v>
      </c>
      <c r="G227" t="s">
        <v>23</v>
      </c>
      <c r="H227">
        <v>2019</v>
      </c>
      <c r="I227">
        <v>27406.799999999999</v>
      </c>
      <c r="J227">
        <v>18341.2</v>
      </c>
      <c r="K227" s="1">
        <v>0.66920000000000002</v>
      </c>
      <c r="L227">
        <v>9084.4</v>
      </c>
      <c r="M227" s="1">
        <v>0.33150000000000002</v>
      </c>
      <c r="N227">
        <v>13658.7</v>
      </c>
      <c r="O227" s="1">
        <v>0.49840000000000001</v>
      </c>
      <c r="P227">
        <v>13748.1</v>
      </c>
      <c r="Q227" s="1">
        <v>0.50160000000000005</v>
      </c>
      <c r="R22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27" s="2">
        <f>Tabela_base[[#This Row],[Total Streams (in millions)]]-(Tabela_base[[#This Row],[Lead Streams (in millions)]]+Tabela_base[[#This Row],[Feature Streams (in millions)]])</f>
        <v>-18.799999999999272</v>
      </c>
    </row>
    <row r="228" spans="1:19" x14ac:dyDescent="0.3">
      <c r="A228" s="20">
        <v>227</v>
      </c>
      <c r="B228" t="s">
        <v>307</v>
      </c>
      <c r="C228" t="s">
        <v>17</v>
      </c>
      <c r="D228" t="s">
        <v>62</v>
      </c>
      <c r="E228" t="s">
        <v>19</v>
      </c>
      <c r="F228" t="s">
        <v>46</v>
      </c>
      <c r="G228" t="s">
        <v>23</v>
      </c>
      <c r="H228">
        <v>2009</v>
      </c>
      <c r="I228">
        <v>78104.399999999994</v>
      </c>
      <c r="J228">
        <v>48316.2</v>
      </c>
      <c r="K228" s="1">
        <v>0.61860000000000004</v>
      </c>
      <c r="L228">
        <v>29788.2</v>
      </c>
      <c r="M228" s="1">
        <v>0.38140000000000002</v>
      </c>
      <c r="N228">
        <v>29638.3</v>
      </c>
      <c r="O228" s="1">
        <v>0.3795</v>
      </c>
      <c r="P228">
        <v>48466.1</v>
      </c>
      <c r="Q228" s="1">
        <v>0.62050000000000005</v>
      </c>
      <c r="R22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28" s="2">
        <f>Tabela_base[[#This Row],[Total Streams (in millions)]]-(Tabela_base[[#This Row],[Lead Streams (in millions)]]+Tabela_base[[#This Row],[Feature Streams (in millions)]])</f>
        <v>0</v>
      </c>
    </row>
    <row r="229" spans="1:19" x14ac:dyDescent="0.3">
      <c r="A229" s="20">
        <v>228</v>
      </c>
      <c r="B229" t="s">
        <v>308</v>
      </c>
      <c r="C229" t="s">
        <v>17</v>
      </c>
      <c r="D229" t="s">
        <v>18</v>
      </c>
      <c r="E229" t="s">
        <v>41</v>
      </c>
      <c r="F229" t="s">
        <v>42</v>
      </c>
      <c r="G229" t="s">
        <v>23</v>
      </c>
      <c r="H229">
        <v>2010</v>
      </c>
      <c r="I229">
        <v>15041.1</v>
      </c>
      <c r="J229">
        <v>4978.8999999999996</v>
      </c>
      <c r="K229" s="1">
        <v>0.33100000000000002</v>
      </c>
      <c r="L229">
        <v>10062.1</v>
      </c>
      <c r="M229" s="1">
        <v>0.66900000000000004</v>
      </c>
      <c r="N229">
        <v>2069.9</v>
      </c>
      <c r="O229" s="1">
        <v>0.1376</v>
      </c>
      <c r="P229">
        <v>12971.2</v>
      </c>
      <c r="Q229" s="1">
        <v>0.86240000000000006</v>
      </c>
      <c r="R22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29" s="2">
        <f>Tabela_base[[#This Row],[Total Streams (in millions)]]-(Tabela_base[[#This Row],[Lead Streams (in millions)]]+Tabela_base[[#This Row],[Feature Streams (in millions)]])</f>
        <v>0.1000000000003638</v>
      </c>
    </row>
    <row r="230" spans="1:19" x14ac:dyDescent="0.3">
      <c r="A230" s="20">
        <v>229</v>
      </c>
      <c r="B230" t="s">
        <v>309</v>
      </c>
      <c r="C230" t="s">
        <v>17</v>
      </c>
      <c r="D230" t="s">
        <v>18</v>
      </c>
      <c r="E230" t="s">
        <v>19</v>
      </c>
      <c r="F230" t="s">
        <v>46</v>
      </c>
      <c r="G230" t="s">
        <v>23</v>
      </c>
      <c r="H230">
        <v>2002</v>
      </c>
      <c r="I230">
        <v>18270.8</v>
      </c>
      <c r="J230">
        <v>13165.8</v>
      </c>
      <c r="K230" s="1">
        <v>0.72060000000000002</v>
      </c>
      <c r="L230">
        <v>5114.8999999999996</v>
      </c>
      <c r="M230" s="1">
        <v>0.27989999999999998</v>
      </c>
      <c r="N230">
        <v>8899.2000000000007</v>
      </c>
      <c r="O230" s="1">
        <v>0.48709999999999998</v>
      </c>
      <c r="P230">
        <v>9371.6</v>
      </c>
      <c r="Q230" s="1">
        <v>0.51290000000000002</v>
      </c>
      <c r="R23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30" s="2">
        <f>Tabela_base[[#This Row],[Total Streams (in millions)]]-(Tabela_base[[#This Row],[Lead Streams (in millions)]]+Tabela_base[[#This Row],[Feature Streams (in millions)]])</f>
        <v>-9.8999999999978172</v>
      </c>
    </row>
    <row r="231" spans="1:19" x14ac:dyDescent="0.3">
      <c r="A231" s="20">
        <v>230</v>
      </c>
      <c r="B231" t="s">
        <v>310</v>
      </c>
      <c r="C231" t="s">
        <v>49</v>
      </c>
      <c r="D231" t="s">
        <v>103</v>
      </c>
      <c r="E231" t="s">
        <v>19</v>
      </c>
      <c r="F231" t="s">
        <v>33</v>
      </c>
      <c r="G231" t="s">
        <v>23</v>
      </c>
      <c r="H231">
        <v>2012</v>
      </c>
      <c r="I231">
        <v>18005.3</v>
      </c>
      <c r="J231">
        <v>10367</v>
      </c>
      <c r="K231" s="1">
        <v>0.57579999999999998</v>
      </c>
      <c r="L231">
        <v>7646.6</v>
      </c>
      <c r="M231" s="1">
        <v>0.42470000000000002</v>
      </c>
      <c r="N231">
        <v>7259.1</v>
      </c>
      <c r="O231" s="1">
        <v>0.4032</v>
      </c>
      <c r="P231">
        <v>10746.2</v>
      </c>
      <c r="Q231" s="1">
        <v>0.5968</v>
      </c>
      <c r="R23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31" s="2">
        <f>Tabela_base[[#This Row],[Total Streams (in millions)]]-(Tabela_base[[#This Row],[Lead Streams (in millions)]]+Tabela_base[[#This Row],[Feature Streams (in millions)]])</f>
        <v>-8.2999999999992724</v>
      </c>
    </row>
    <row r="232" spans="1:19" x14ac:dyDescent="0.3">
      <c r="A232" s="20">
        <v>231</v>
      </c>
      <c r="B232" t="s">
        <v>311</v>
      </c>
      <c r="C232" t="s">
        <v>17</v>
      </c>
      <c r="D232" t="s">
        <v>18</v>
      </c>
      <c r="E232" t="s">
        <v>19</v>
      </c>
      <c r="F232" t="s">
        <v>171</v>
      </c>
      <c r="G232" t="s">
        <v>23</v>
      </c>
      <c r="H232">
        <v>2014</v>
      </c>
      <c r="I232">
        <v>7313.2</v>
      </c>
      <c r="J232">
        <v>7318.3</v>
      </c>
      <c r="K232" s="1">
        <v>1.0006999999999999</v>
      </c>
      <c r="L232">
        <v>8.3000000000000007</v>
      </c>
      <c r="M232" s="1">
        <v>1.1000000000000001E-3</v>
      </c>
      <c r="N232">
        <v>2901.6</v>
      </c>
      <c r="O232" s="1">
        <v>0.39679999999999999</v>
      </c>
      <c r="P232">
        <v>4411.6000000000004</v>
      </c>
      <c r="Q232" s="1">
        <v>0.60319999999999996</v>
      </c>
      <c r="R23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232" s="2">
        <f>Tabela_base[[#This Row],[Total Streams (in millions)]]-(Tabela_base[[#This Row],[Lead Streams (in millions)]]+Tabela_base[[#This Row],[Feature Streams (in millions)]])</f>
        <v>-13.400000000000546</v>
      </c>
    </row>
    <row r="233" spans="1:19" x14ac:dyDescent="0.3">
      <c r="A233" s="20">
        <v>232</v>
      </c>
      <c r="B233" t="s">
        <v>312</v>
      </c>
      <c r="C233" t="s">
        <v>17</v>
      </c>
      <c r="D233" t="s">
        <v>18</v>
      </c>
      <c r="E233" t="s">
        <v>19</v>
      </c>
      <c r="F233" t="s">
        <v>20</v>
      </c>
      <c r="G233" t="s">
        <v>23</v>
      </c>
      <c r="H233">
        <v>2004</v>
      </c>
      <c r="I233">
        <v>65142.9</v>
      </c>
      <c r="J233">
        <v>46558.400000000001</v>
      </c>
      <c r="K233" s="1">
        <v>0.7147</v>
      </c>
      <c r="L233">
        <v>18584.5</v>
      </c>
      <c r="M233" s="1">
        <v>0.2853</v>
      </c>
      <c r="N233">
        <v>28473</v>
      </c>
      <c r="O233" s="1">
        <v>0.43709999999999999</v>
      </c>
      <c r="P233">
        <v>36669.9</v>
      </c>
      <c r="Q233" s="1">
        <v>0.56289999999999996</v>
      </c>
      <c r="R23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33" s="2">
        <f>Tabela_base[[#This Row],[Total Streams (in millions)]]-(Tabela_base[[#This Row],[Lead Streams (in millions)]]+Tabela_base[[#This Row],[Feature Streams (in millions)]])</f>
        <v>0</v>
      </c>
    </row>
    <row r="234" spans="1:19" x14ac:dyDescent="0.3">
      <c r="A234" s="20">
        <v>233</v>
      </c>
      <c r="B234" t="s">
        <v>313</v>
      </c>
      <c r="C234" t="s">
        <v>17</v>
      </c>
      <c r="D234" t="s">
        <v>37</v>
      </c>
      <c r="E234" t="s">
        <v>314</v>
      </c>
      <c r="F234" t="s">
        <v>20</v>
      </c>
      <c r="G234" t="s">
        <v>23</v>
      </c>
      <c r="H234">
        <v>2014</v>
      </c>
      <c r="I234">
        <v>7550.3</v>
      </c>
      <c r="J234">
        <v>6212.4</v>
      </c>
      <c r="K234" s="1">
        <v>0.82279999999999998</v>
      </c>
      <c r="L234">
        <v>1334.7</v>
      </c>
      <c r="M234" s="1">
        <v>0.17680000000000001</v>
      </c>
      <c r="N234">
        <v>1537.2</v>
      </c>
      <c r="O234" s="1">
        <v>0.2036</v>
      </c>
      <c r="P234">
        <v>6013.1</v>
      </c>
      <c r="Q234" s="1">
        <v>0.7964</v>
      </c>
      <c r="R23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34" s="2">
        <f>Tabela_base[[#This Row],[Total Streams (in millions)]]-(Tabela_base[[#This Row],[Lead Streams (in millions)]]+Tabela_base[[#This Row],[Feature Streams (in millions)]])</f>
        <v>3.2000000000007276</v>
      </c>
    </row>
    <row r="235" spans="1:19" x14ac:dyDescent="0.3">
      <c r="A235" s="20">
        <v>234</v>
      </c>
      <c r="B235" t="s">
        <v>315</v>
      </c>
      <c r="C235" t="s">
        <v>49</v>
      </c>
      <c r="D235" t="s">
        <v>103</v>
      </c>
      <c r="E235" t="s">
        <v>41</v>
      </c>
      <c r="F235" t="s">
        <v>42</v>
      </c>
      <c r="G235" t="s">
        <v>23</v>
      </c>
      <c r="H235">
        <v>2007</v>
      </c>
      <c r="I235">
        <v>37549.699999999997</v>
      </c>
      <c r="J235">
        <v>29603.8</v>
      </c>
      <c r="K235" s="1">
        <v>0.78839999999999999</v>
      </c>
      <c r="L235">
        <v>7961.5</v>
      </c>
      <c r="M235" s="1">
        <v>0.21199999999999999</v>
      </c>
      <c r="N235">
        <v>14790.4</v>
      </c>
      <c r="O235" s="1">
        <v>0.39389999999999997</v>
      </c>
      <c r="P235">
        <v>22759.3</v>
      </c>
      <c r="Q235" s="1">
        <v>0.60609999999999997</v>
      </c>
      <c r="R23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35" s="2">
        <f>Tabela_base[[#This Row],[Total Streams (in millions)]]-(Tabela_base[[#This Row],[Lead Streams (in millions)]]+Tabela_base[[#This Row],[Feature Streams (in millions)]])</f>
        <v>-15.600000000005821</v>
      </c>
    </row>
    <row r="236" spans="1:19" x14ac:dyDescent="0.3">
      <c r="A236" s="20">
        <v>235</v>
      </c>
      <c r="B236" t="s">
        <v>316</v>
      </c>
      <c r="C236" t="s">
        <v>49</v>
      </c>
      <c r="D236" t="s">
        <v>18</v>
      </c>
      <c r="E236" t="s">
        <v>19</v>
      </c>
      <c r="F236" t="s">
        <v>46</v>
      </c>
      <c r="G236" t="s">
        <v>23</v>
      </c>
      <c r="H236">
        <v>2001</v>
      </c>
      <c r="I236">
        <v>28248</v>
      </c>
      <c r="J236">
        <v>25287.5</v>
      </c>
      <c r="K236" s="1">
        <v>0.8952</v>
      </c>
      <c r="L236">
        <v>2977.8</v>
      </c>
      <c r="M236" s="1">
        <v>0.10539999999999999</v>
      </c>
      <c r="N236">
        <v>19629.7</v>
      </c>
      <c r="O236" s="1">
        <v>0.69489999999999996</v>
      </c>
      <c r="P236">
        <v>8618.2999999999993</v>
      </c>
      <c r="Q236" s="1">
        <v>0.30509999999999998</v>
      </c>
      <c r="R23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36" s="2">
        <f>Tabela_base[[#This Row],[Total Streams (in millions)]]-(Tabela_base[[#This Row],[Lead Streams (in millions)]]+Tabela_base[[#This Row],[Feature Streams (in millions)]])</f>
        <v>-17.299999999999272</v>
      </c>
    </row>
    <row r="237" spans="1:19" x14ac:dyDescent="0.3">
      <c r="A237" s="20">
        <v>236</v>
      </c>
      <c r="B237" t="s">
        <v>317</v>
      </c>
      <c r="C237" t="s">
        <v>49</v>
      </c>
      <c r="D237" t="s">
        <v>18</v>
      </c>
      <c r="E237" t="s">
        <v>19</v>
      </c>
      <c r="F237" t="s">
        <v>33</v>
      </c>
      <c r="G237" t="s">
        <v>23</v>
      </c>
      <c r="H237">
        <v>2014</v>
      </c>
      <c r="I237">
        <v>10712.8</v>
      </c>
      <c r="J237">
        <v>6060.2</v>
      </c>
      <c r="K237" s="1">
        <v>0.56569999999999998</v>
      </c>
      <c r="L237">
        <v>4663.3999999999996</v>
      </c>
      <c r="M237" s="1">
        <v>0.43530000000000002</v>
      </c>
      <c r="N237">
        <v>4257.3999999999996</v>
      </c>
      <c r="O237" s="1">
        <v>0.39739999999999998</v>
      </c>
      <c r="P237">
        <v>6455.4</v>
      </c>
      <c r="Q237" s="1">
        <v>0.60260000000000002</v>
      </c>
      <c r="R23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37" s="2">
        <f>Tabela_base[[#This Row],[Total Streams (in millions)]]-(Tabela_base[[#This Row],[Lead Streams (in millions)]]+Tabela_base[[#This Row],[Feature Streams (in millions)]])</f>
        <v>-10.799999999999272</v>
      </c>
    </row>
    <row r="238" spans="1:19" x14ac:dyDescent="0.3">
      <c r="A238" s="20">
        <v>237</v>
      </c>
      <c r="B238" t="s">
        <v>318</v>
      </c>
      <c r="C238" t="s">
        <v>49</v>
      </c>
      <c r="D238" t="s">
        <v>18</v>
      </c>
      <c r="E238" t="s">
        <v>19</v>
      </c>
      <c r="F238" t="s">
        <v>46</v>
      </c>
      <c r="G238" t="s">
        <v>23</v>
      </c>
      <c r="H238">
        <v>2002</v>
      </c>
      <c r="I238">
        <v>8339.2999999999993</v>
      </c>
      <c r="J238">
        <v>7864.3</v>
      </c>
      <c r="K238" s="1">
        <v>0.94299999999999995</v>
      </c>
      <c r="L238">
        <v>477.4</v>
      </c>
      <c r="M238" s="1">
        <v>5.7200000000000001E-2</v>
      </c>
      <c r="N238">
        <v>7297.4</v>
      </c>
      <c r="O238" s="1">
        <v>0.87509999999999999</v>
      </c>
      <c r="P238">
        <v>1041.9000000000001</v>
      </c>
      <c r="Q238" s="1">
        <v>0.1249</v>
      </c>
      <c r="R23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38" s="2">
        <f>Tabela_base[[#This Row],[Total Streams (in millions)]]-(Tabela_base[[#This Row],[Lead Streams (in millions)]]+Tabela_base[[#This Row],[Feature Streams (in millions)]])</f>
        <v>-2.4000000000014552</v>
      </c>
    </row>
    <row r="239" spans="1:19" x14ac:dyDescent="0.3">
      <c r="A239" s="20">
        <v>238</v>
      </c>
      <c r="B239" t="s">
        <v>319</v>
      </c>
      <c r="C239" t="s">
        <v>17</v>
      </c>
      <c r="D239" t="s">
        <v>18</v>
      </c>
      <c r="E239" t="s">
        <v>19</v>
      </c>
      <c r="F239" t="s">
        <v>20</v>
      </c>
      <c r="G239" t="s">
        <v>23</v>
      </c>
      <c r="H239">
        <v>2009</v>
      </c>
      <c r="I239">
        <v>56459.5</v>
      </c>
      <c r="J239">
        <v>40752.199999999997</v>
      </c>
      <c r="K239" s="1">
        <v>0.7218</v>
      </c>
      <c r="L239">
        <v>15725</v>
      </c>
      <c r="M239" s="1">
        <v>0.27850000000000003</v>
      </c>
      <c r="N239">
        <v>23403.5</v>
      </c>
      <c r="O239" s="1">
        <v>0.41449999999999998</v>
      </c>
      <c r="P239">
        <v>33056</v>
      </c>
      <c r="Q239" s="1">
        <v>0.58550000000000002</v>
      </c>
      <c r="R23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39" s="2">
        <f>Tabela_base[[#This Row],[Total Streams (in millions)]]-(Tabela_base[[#This Row],[Lead Streams (in millions)]]+Tabela_base[[#This Row],[Feature Streams (in millions)]])</f>
        <v>-17.69999999999709</v>
      </c>
    </row>
    <row r="240" spans="1:19" x14ac:dyDescent="0.3">
      <c r="A240" s="20">
        <v>239</v>
      </c>
      <c r="B240" t="s">
        <v>320</v>
      </c>
      <c r="C240" t="s">
        <v>49</v>
      </c>
      <c r="D240" t="s">
        <v>18</v>
      </c>
      <c r="E240" t="s">
        <v>19</v>
      </c>
      <c r="F240" t="s">
        <v>46</v>
      </c>
      <c r="G240" t="s">
        <v>23</v>
      </c>
      <c r="H240">
        <v>2009</v>
      </c>
      <c r="I240">
        <v>12094.7</v>
      </c>
      <c r="J240">
        <v>7821.4</v>
      </c>
      <c r="K240" s="1">
        <v>0.64670000000000005</v>
      </c>
      <c r="L240">
        <v>4279.1000000000004</v>
      </c>
      <c r="M240" s="1">
        <v>0.3538</v>
      </c>
      <c r="N240">
        <v>7189.4</v>
      </c>
      <c r="O240" s="1">
        <v>0.59440000000000004</v>
      </c>
      <c r="P240">
        <v>4905.3</v>
      </c>
      <c r="Q240" s="1">
        <v>0.40560000000000002</v>
      </c>
      <c r="R24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40" s="2">
        <f>Tabela_base[[#This Row],[Total Streams (in millions)]]-(Tabela_base[[#This Row],[Lead Streams (in millions)]]+Tabela_base[[#This Row],[Feature Streams (in millions)]])</f>
        <v>-5.7999999999992724</v>
      </c>
    </row>
    <row r="241" spans="1:19" x14ac:dyDescent="0.3">
      <c r="A241" s="20">
        <v>240</v>
      </c>
      <c r="B241" t="s">
        <v>321</v>
      </c>
      <c r="C241" t="s">
        <v>17</v>
      </c>
      <c r="D241" t="s">
        <v>18</v>
      </c>
      <c r="E241" t="s">
        <v>19</v>
      </c>
      <c r="F241" t="s">
        <v>20</v>
      </c>
      <c r="G241" t="s">
        <v>23</v>
      </c>
      <c r="H241">
        <v>2007</v>
      </c>
      <c r="I241">
        <v>7589.1</v>
      </c>
      <c r="J241">
        <v>6273.4</v>
      </c>
      <c r="K241" s="1">
        <v>0.8266</v>
      </c>
      <c r="L241">
        <v>1315.7</v>
      </c>
      <c r="M241" s="1">
        <v>0.1734</v>
      </c>
      <c r="N241">
        <v>5418.2</v>
      </c>
      <c r="O241" s="1">
        <v>0.71389999999999998</v>
      </c>
      <c r="P241">
        <v>2170.9</v>
      </c>
      <c r="Q241" s="1">
        <v>0.28610000000000002</v>
      </c>
      <c r="R24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41" s="2">
        <f>Tabela_base[[#This Row],[Total Streams (in millions)]]-(Tabela_base[[#This Row],[Lead Streams (in millions)]]+Tabela_base[[#This Row],[Feature Streams (in millions)]])</f>
        <v>0</v>
      </c>
    </row>
    <row r="242" spans="1:19" x14ac:dyDescent="0.3">
      <c r="A242" s="20">
        <v>241</v>
      </c>
      <c r="B242" t="s">
        <v>322</v>
      </c>
      <c r="C242" t="s">
        <v>17</v>
      </c>
      <c r="D242" t="s">
        <v>18</v>
      </c>
      <c r="E242" t="s">
        <v>19</v>
      </c>
      <c r="F242" t="s">
        <v>33</v>
      </c>
      <c r="G242" t="s">
        <v>23</v>
      </c>
      <c r="H242">
        <v>2016</v>
      </c>
      <c r="I242">
        <v>35727.199999999997</v>
      </c>
      <c r="J242">
        <v>18499.900000000001</v>
      </c>
      <c r="K242" s="1">
        <v>0.51780000000000004</v>
      </c>
      <c r="L242">
        <v>17234.400000000001</v>
      </c>
      <c r="M242" s="1">
        <v>0.4824</v>
      </c>
      <c r="N242">
        <v>12520.6</v>
      </c>
      <c r="O242" s="1">
        <v>0.35049999999999998</v>
      </c>
      <c r="P242">
        <v>23206.6</v>
      </c>
      <c r="Q242" s="1">
        <v>0.64949999999999997</v>
      </c>
      <c r="R24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42" s="2">
        <f>Tabela_base[[#This Row],[Total Streams (in millions)]]-(Tabela_base[[#This Row],[Lead Streams (in millions)]]+Tabela_base[[#This Row],[Feature Streams (in millions)]])</f>
        <v>-7.1000000000058208</v>
      </c>
    </row>
    <row r="243" spans="1:19" x14ac:dyDescent="0.3">
      <c r="A243" s="20">
        <v>242</v>
      </c>
      <c r="B243" t="s">
        <v>323</v>
      </c>
      <c r="C243" t="s">
        <v>17</v>
      </c>
      <c r="D243" t="s">
        <v>120</v>
      </c>
      <c r="E243" t="s">
        <v>41</v>
      </c>
      <c r="F243" t="s">
        <v>20</v>
      </c>
      <c r="G243" t="s">
        <v>23</v>
      </c>
      <c r="H243">
        <v>2017</v>
      </c>
      <c r="I243">
        <v>7405.6</v>
      </c>
      <c r="J243">
        <v>6405.3</v>
      </c>
      <c r="K243" s="1">
        <v>0.8649</v>
      </c>
      <c r="L243">
        <v>1014.5</v>
      </c>
      <c r="M243" s="1">
        <v>0.13700000000000001</v>
      </c>
      <c r="N243">
        <v>639.20000000000005</v>
      </c>
      <c r="O243" s="1">
        <v>8.6300000000000002E-2</v>
      </c>
      <c r="P243">
        <v>6766.4</v>
      </c>
      <c r="Q243" s="1">
        <v>0.91369999999999996</v>
      </c>
      <c r="R24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43" s="2">
        <f>Tabela_base[[#This Row],[Total Streams (in millions)]]-(Tabela_base[[#This Row],[Lead Streams (in millions)]]+Tabela_base[[#This Row],[Feature Streams (in millions)]])</f>
        <v>-14.199999999999818</v>
      </c>
    </row>
    <row r="244" spans="1:19" x14ac:dyDescent="0.3">
      <c r="A244" s="20">
        <v>243</v>
      </c>
      <c r="B244" t="s">
        <v>324</v>
      </c>
      <c r="C244" t="s">
        <v>17</v>
      </c>
      <c r="D244" t="s">
        <v>18</v>
      </c>
      <c r="E244" t="s">
        <v>19</v>
      </c>
      <c r="F244" t="s">
        <v>20</v>
      </c>
      <c r="G244" t="s">
        <v>23</v>
      </c>
      <c r="H244">
        <v>2008</v>
      </c>
      <c r="I244">
        <v>15086.8</v>
      </c>
      <c r="J244">
        <v>10607.6</v>
      </c>
      <c r="K244" s="1">
        <v>0.70309999999999995</v>
      </c>
      <c r="L244">
        <v>4483.8999999999996</v>
      </c>
      <c r="M244" s="1">
        <v>0.29720000000000002</v>
      </c>
      <c r="N244">
        <v>5835.1</v>
      </c>
      <c r="O244" s="1">
        <v>0.38679999999999998</v>
      </c>
      <c r="P244">
        <v>9251.7000000000007</v>
      </c>
      <c r="Q244" s="1">
        <v>0.61319999999999997</v>
      </c>
      <c r="R24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44" s="2">
        <f>Tabela_base[[#This Row],[Total Streams (in millions)]]-(Tabela_base[[#This Row],[Lead Streams (in millions)]]+Tabela_base[[#This Row],[Feature Streams (in millions)]])</f>
        <v>-4.7000000000007276</v>
      </c>
    </row>
    <row r="245" spans="1:19" x14ac:dyDescent="0.3">
      <c r="A245" s="20">
        <v>244</v>
      </c>
      <c r="B245" t="s">
        <v>325</v>
      </c>
      <c r="C245" t="s">
        <v>17</v>
      </c>
      <c r="D245" t="s">
        <v>18</v>
      </c>
      <c r="E245" t="s">
        <v>19</v>
      </c>
      <c r="F245" t="s">
        <v>29</v>
      </c>
      <c r="G245" t="s">
        <v>21</v>
      </c>
      <c r="H245">
        <v>2003</v>
      </c>
      <c r="I245">
        <v>8647.7999999999993</v>
      </c>
      <c r="J245">
        <v>8598.1</v>
      </c>
      <c r="K245" s="1">
        <v>0.99429999999999996</v>
      </c>
      <c r="L245">
        <v>54</v>
      </c>
      <c r="M245" s="1">
        <v>6.1999999999999998E-3</v>
      </c>
      <c r="N245">
        <v>8555.2000000000007</v>
      </c>
      <c r="O245" s="1">
        <v>0.98929999999999996</v>
      </c>
      <c r="P245">
        <v>92.6</v>
      </c>
      <c r="Q245" s="1">
        <v>1.0699999999999999E-2</v>
      </c>
      <c r="R24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45" s="2">
        <f>Tabela_base[[#This Row],[Total Streams (in millions)]]-(Tabela_base[[#This Row],[Lead Streams (in millions)]]+Tabela_base[[#This Row],[Feature Streams (in millions)]])</f>
        <v>-4.3000000000010914</v>
      </c>
    </row>
    <row r="246" spans="1:19" x14ac:dyDescent="0.3">
      <c r="A246" s="20">
        <v>245</v>
      </c>
      <c r="B246" t="s">
        <v>326</v>
      </c>
      <c r="C246" t="s">
        <v>17</v>
      </c>
      <c r="D246" t="s">
        <v>18</v>
      </c>
      <c r="E246" t="s">
        <v>19</v>
      </c>
      <c r="F246" t="s">
        <v>20</v>
      </c>
      <c r="G246" t="s">
        <v>23</v>
      </c>
      <c r="H246">
        <v>2009</v>
      </c>
      <c r="I246">
        <v>17738.8</v>
      </c>
      <c r="J246">
        <v>11748.1</v>
      </c>
      <c r="K246" s="1">
        <v>0.6623</v>
      </c>
      <c r="L246">
        <v>5997.1</v>
      </c>
      <c r="M246" s="1">
        <v>0.33810000000000001</v>
      </c>
      <c r="N246">
        <v>7693.4</v>
      </c>
      <c r="O246" s="1">
        <v>0.43369999999999997</v>
      </c>
      <c r="P246">
        <v>10045.4</v>
      </c>
      <c r="Q246" s="1">
        <v>0.56630000000000003</v>
      </c>
      <c r="R24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46" s="2">
        <f>Tabela_base[[#This Row],[Total Streams (in millions)]]-(Tabela_base[[#This Row],[Lead Streams (in millions)]]+Tabela_base[[#This Row],[Feature Streams (in millions)]])</f>
        <v>-6.4000000000014552</v>
      </c>
    </row>
    <row r="247" spans="1:19" x14ac:dyDescent="0.3">
      <c r="A247" s="20">
        <v>246</v>
      </c>
      <c r="B247" t="s">
        <v>327</v>
      </c>
      <c r="C247" t="s">
        <v>17</v>
      </c>
      <c r="D247" t="s">
        <v>18</v>
      </c>
      <c r="E247" t="s">
        <v>19</v>
      </c>
      <c r="F247" t="s">
        <v>91</v>
      </c>
      <c r="G247" t="s">
        <v>21</v>
      </c>
      <c r="H247">
        <v>1994</v>
      </c>
      <c r="I247">
        <v>6976.4</v>
      </c>
      <c r="J247">
        <v>4188.3999999999996</v>
      </c>
      <c r="K247" s="1">
        <v>0.60040000000000004</v>
      </c>
      <c r="L247">
        <v>2798.5</v>
      </c>
      <c r="M247" s="1">
        <v>0.40110000000000001</v>
      </c>
      <c r="N247">
        <v>6414.9</v>
      </c>
      <c r="O247" s="1">
        <v>0.91949999999999998</v>
      </c>
      <c r="P247">
        <v>561.5</v>
      </c>
      <c r="Q247" s="1">
        <v>8.0500000000000002E-2</v>
      </c>
      <c r="R24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47" s="2">
        <f>Tabela_base[[#This Row],[Total Streams (in millions)]]-(Tabela_base[[#This Row],[Lead Streams (in millions)]]+Tabela_base[[#This Row],[Feature Streams (in millions)]])</f>
        <v>-10.5</v>
      </c>
    </row>
    <row r="248" spans="1:19" x14ac:dyDescent="0.3">
      <c r="A248" s="20">
        <v>247</v>
      </c>
      <c r="B248" t="s">
        <v>328</v>
      </c>
      <c r="C248" t="s">
        <v>17</v>
      </c>
      <c r="D248" t="s">
        <v>37</v>
      </c>
      <c r="E248" t="s">
        <v>68</v>
      </c>
      <c r="F248" t="s">
        <v>46</v>
      </c>
      <c r="G248" t="s">
        <v>23</v>
      </c>
      <c r="H248">
        <v>1999</v>
      </c>
      <c r="I248">
        <v>7689.5</v>
      </c>
      <c r="J248">
        <v>107.1</v>
      </c>
      <c r="K248" s="1">
        <v>1.3899999999999999E-2</v>
      </c>
      <c r="L248">
        <v>7598.6</v>
      </c>
      <c r="M248" s="1">
        <v>0.98819999999999997</v>
      </c>
      <c r="N248">
        <v>0</v>
      </c>
      <c r="O248" s="1">
        <v>0</v>
      </c>
      <c r="P248">
        <v>7689.5</v>
      </c>
      <c r="Q248" s="1">
        <v>1</v>
      </c>
      <c r="R24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48" s="2">
        <f>Tabela_base[[#This Row],[Total Streams (in millions)]]-(Tabela_base[[#This Row],[Lead Streams (in millions)]]+Tabela_base[[#This Row],[Feature Streams (in millions)]])</f>
        <v>-16.200000000000728</v>
      </c>
    </row>
    <row r="249" spans="1:19" x14ac:dyDescent="0.3">
      <c r="A249" s="20">
        <v>248</v>
      </c>
      <c r="B249" t="s">
        <v>329</v>
      </c>
      <c r="C249" t="s">
        <v>17</v>
      </c>
      <c r="D249" t="s">
        <v>54</v>
      </c>
      <c r="E249" t="s">
        <v>19</v>
      </c>
      <c r="F249" t="s">
        <v>55</v>
      </c>
      <c r="G249" t="s">
        <v>23</v>
      </c>
      <c r="H249">
        <v>2013</v>
      </c>
      <c r="I249">
        <v>19707.8</v>
      </c>
      <c r="J249">
        <v>17829.8</v>
      </c>
      <c r="K249" s="1">
        <v>0.90469999999999995</v>
      </c>
      <c r="L249">
        <v>1883.3</v>
      </c>
      <c r="M249" s="1">
        <v>9.5600000000000004E-2</v>
      </c>
      <c r="N249">
        <v>250.7</v>
      </c>
      <c r="O249" s="1">
        <v>1.2699999999999999E-2</v>
      </c>
      <c r="P249">
        <v>19457.099999999999</v>
      </c>
      <c r="Q249" s="1">
        <v>0.98729999999999996</v>
      </c>
      <c r="R24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49" s="2">
        <f>Tabela_base[[#This Row],[Total Streams (in millions)]]-(Tabela_base[[#This Row],[Lead Streams (in millions)]]+Tabela_base[[#This Row],[Feature Streams (in millions)]])</f>
        <v>-5.2999999999992724</v>
      </c>
    </row>
    <row r="250" spans="1:19" x14ac:dyDescent="0.3">
      <c r="A250" s="20">
        <v>249</v>
      </c>
      <c r="B250" t="s">
        <v>330</v>
      </c>
      <c r="C250" t="s">
        <v>17</v>
      </c>
      <c r="D250" t="s">
        <v>57</v>
      </c>
      <c r="E250" t="s">
        <v>41</v>
      </c>
      <c r="F250" t="s">
        <v>65</v>
      </c>
      <c r="G250" t="s">
        <v>21</v>
      </c>
      <c r="H250">
        <v>1997</v>
      </c>
      <c r="I250">
        <v>10147.9</v>
      </c>
      <c r="J250">
        <v>10065.9</v>
      </c>
      <c r="K250" s="1">
        <v>0.9919</v>
      </c>
      <c r="L250">
        <v>89.1</v>
      </c>
      <c r="M250" s="1">
        <v>8.8000000000000005E-3</v>
      </c>
      <c r="N250">
        <v>9956.7999999999993</v>
      </c>
      <c r="O250" s="1">
        <v>0.98119999999999996</v>
      </c>
      <c r="P250">
        <v>191.1</v>
      </c>
      <c r="Q250" s="1">
        <v>1.8800000000000001E-2</v>
      </c>
      <c r="R25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50" s="2">
        <f>Tabela_base[[#This Row],[Total Streams (in millions)]]-(Tabela_base[[#This Row],[Lead Streams (in millions)]]+Tabela_base[[#This Row],[Feature Streams (in millions)]])</f>
        <v>-7.1000000000003638</v>
      </c>
    </row>
    <row r="251" spans="1:19" x14ac:dyDescent="0.3">
      <c r="A251" s="20">
        <v>250</v>
      </c>
      <c r="B251" t="s">
        <v>331</v>
      </c>
      <c r="C251" t="s">
        <v>17</v>
      </c>
      <c r="D251" t="s">
        <v>25</v>
      </c>
      <c r="E251" t="s">
        <v>19</v>
      </c>
      <c r="F251" t="s">
        <v>46</v>
      </c>
      <c r="G251" t="s">
        <v>23</v>
      </c>
      <c r="H251">
        <v>2010</v>
      </c>
      <c r="I251">
        <v>10783.2</v>
      </c>
      <c r="J251">
        <v>7412.3</v>
      </c>
      <c r="K251" s="1">
        <v>0.68740000000000001</v>
      </c>
      <c r="L251">
        <v>3373.2</v>
      </c>
      <c r="M251" s="1">
        <v>0.31280000000000002</v>
      </c>
      <c r="N251">
        <v>5819.8</v>
      </c>
      <c r="O251" s="1">
        <v>0.53969999999999996</v>
      </c>
      <c r="P251">
        <v>4963.3999999999996</v>
      </c>
      <c r="Q251" s="1">
        <v>0.46029999999999999</v>
      </c>
      <c r="R25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51" s="2">
        <f>Tabela_base[[#This Row],[Total Streams (in millions)]]-(Tabela_base[[#This Row],[Lead Streams (in millions)]]+Tabela_base[[#This Row],[Feature Streams (in millions)]])</f>
        <v>-2.2999999999992724</v>
      </c>
    </row>
    <row r="252" spans="1:19" x14ac:dyDescent="0.3">
      <c r="A252" s="20">
        <v>251</v>
      </c>
      <c r="B252" t="s">
        <v>332</v>
      </c>
      <c r="C252" t="s">
        <v>49</v>
      </c>
      <c r="D252" t="s">
        <v>18</v>
      </c>
      <c r="E252" t="s">
        <v>19</v>
      </c>
      <c r="F252" t="s">
        <v>46</v>
      </c>
      <c r="G252" t="s">
        <v>23</v>
      </c>
      <c r="H252">
        <v>2008</v>
      </c>
      <c r="I252">
        <v>37565.4</v>
      </c>
      <c r="J252">
        <v>37009.699999999997</v>
      </c>
      <c r="K252" s="1">
        <v>0.98519999999999996</v>
      </c>
      <c r="L252">
        <v>572</v>
      </c>
      <c r="M252" s="1">
        <v>1.52E-2</v>
      </c>
      <c r="N252">
        <v>23546.2</v>
      </c>
      <c r="O252" s="1">
        <v>0.62680000000000002</v>
      </c>
      <c r="P252">
        <v>14019.2</v>
      </c>
      <c r="Q252" s="1">
        <v>0.37319999999999998</v>
      </c>
      <c r="R25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52" s="2">
        <f>Tabela_base[[#This Row],[Total Streams (in millions)]]-(Tabela_base[[#This Row],[Lead Streams (in millions)]]+Tabela_base[[#This Row],[Feature Streams (in millions)]])</f>
        <v>-16.299999999995634</v>
      </c>
    </row>
    <row r="253" spans="1:19" x14ac:dyDescent="0.3">
      <c r="A253" s="20">
        <v>252</v>
      </c>
      <c r="B253" t="s">
        <v>333</v>
      </c>
      <c r="C253" t="s">
        <v>49</v>
      </c>
      <c r="D253" t="s">
        <v>18</v>
      </c>
      <c r="E253" t="s">
        <v>19</v>
      </c>
      <c r="F253" t="s">
        <v>101</v>
      </c>
      <c r="G253" t="s">
        <v>23</v>
      </c>
      <c r="H253">
        <v>2010</v>
      </c>
      <c r="I253">
        <v>42464.1</v>
      </c>
      <c r="J253">
        <v>38477.300000000003</v>
      </c>
      <c r="K253" s="1">
        <v>0.90610000000000002</v>
      </c>
      <c r="L253">
        <v>3986.8</v>
      </c>
      <c r="M253" s="1">
        <v>9.3899999999999997E-2</v>
      </c>
      <c r="N253">
        <v>34578.400000000001</v>
      </c>
      <c r="O253" s="1">
        <v>0.81430000000000002</v>
      </c>
      <c r="P253">
        <v>7885.7</v>
      </c>
      <c r="Q253" s="1">
        <v>0.1857</v>
      </c>
      <c r="R25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53" s="2">
        <f>Tabela_base[[#This Row],[Total Streams (in millions)]]-(Tabela_base[[#This Row],[Lead Streams (in millions)]]+Tabela_base[[#This Row],[Feature Streams (in millions)]])</f>
        <v>0</v>
      </c>
    </row>
    <row r="254" spans="1:19" x14ac:dyDescent="0.3">
      <c r="A254" s="20">
        <v>253</v>
      </c>
      <c r="B254" t="s">
        <v>334</v>
      </c>
      <c r="C254" t="s">
        <v>17</v>
      </c>
      <c r="D254" t="s">
        <v>18</v>
      </c>
      <c r="E254" t="s">
        <v>19</v>
      </c>
      <c r="F254" t="s">
        <v>46</v>
      </c>
      <c r="G254" t="s">
        <v>21</v>
      </c>
      <c r="H254">
        <v>2014</v>
      </c>
      <c r="I254">
        <v>7453.2</v>
      </c>
      <c r="J254">
        <v>2524.9</v>
      </c>
      <c r="K254" s="1">
        <v>0.33879999999999999</v>
      </c>
      <c r="L254">
        <v>4942.3999999999996</v>
      </c>
      <c r="M254" s="1">
        <v>0.66310000000000002</v>
      </c>
      <c r="N254">
        <v>6424.3</v>
      </c>
      <c r="O254" s="1">
        <v>0.86199999999999999</v>
      </c>
      <c r="P254">
        <v>1028.9000000000001</v>
      </c>
      <c r="Q254" s="1">
        <v>0.13800000000000001</v>
      </c>
      <c r="R25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54" s="2">
        <f>Tabela_base[[#This Row],[Total Streams (in millions)]]-(Tabela_base[[#This Row],[Lead Streams (in millions)]]+Tabela_base[[#This Row],[Feature Streams (in millions)]])</f>
        <v>-14.099999999999454</v>
      </c>
    </row>
    <row r="255" spans="1:19" x14ac:dyDescent="0.3">
      <c r="A255" s="20">
        <v>254</v>
      </c>
      <c r="B255" t="s">
        <v>335</v>
      </c>
      <c r="C255" t="s">
        <v>49</v>
      </c>
      <c r="D255" t="s">
        <v>336</v>
      </c>
      <c r="E255" t="s">
        <v>19</v>
      </c>
      <c r="F255" t="s">
        <v>46</v>
      </c>
      <c r="G255" t="s">
        <v>23</v>
      </c>
      <c r="H255">
        <v>2020</v>
      </c>
      <c r="I255">
        <v>7286.8</v>
      </c>
      <c r="J255">
        <v>4703.7</v>
      </c>
      <c r="K255" s="1">
        <v>0.64549999999999996</v>
      </c>
      <c r="L255">
        <v>2609.5</v>
      </c>
      <c r="M255" s="1">
        <v>0.35809999999999997</v>
      </c>
      <c r="N255">
        <v>6083.2</v>
      </c>
      <c r="O255" s="1">
        <v>0.83479999999999999</v>
      </c>
      <c r="P255">
        <v>1203.5999999999999</v>
      </c>
      <c r="Q255" s="1">
        <v>0.16520000000000001</v>
      </c>
      <c r="R25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55" s="2">
        <f>Tabela_base[[#This Row],[Total Streams (in millions)]]-(Tabela_base[[#This Row],[Lead Streams (in millions)]]+Tabela_base[[#This Row],[Feature Streams (in millions)]])</f>
        <v>-26.399999999999636</v>
      </c>
    </row>
    <row r="256" spans="1:19" x14ac:dyDescent="0.3">
      <c r="A256" s="20">
        <v>255</v>
      </c>
      <c r="B256" t="s">
        <v>337</v>
      </c>
      <c r="C256" t="s">
        <v>17</v>
      </c>
      <c r="D256" t="s">
        <v>18</v>
      </c>
      <c r="E256" t="s">
        <v>19</v>
      </c>
      <c r="F256" t="s">
        <v>46</v>
      </c>
      <c r="G256" t="s">
        <v>23</v>
      </c>
      <c r="H256">
        <v>2015</v>
      </c>
      <c r="I256">
        <v>11966.9</v>
      </c>
      <c r="J256">
        <v>10802.2</v>
      </c>
      <c r="K256" s="1">
        <v>0.90269999999999995</v>
      </c>
      <c r="L256">
        <v>1167.0999999999999</v>
      </c>
      <c r="M256" s="1">
        <v>9.7500000000000003E-2</v>
      </c>
      <c r="N256">
        <v>7423</v>
      </c>
      <c r="O256" s="1">
        <v>0.62029999999999996</v>
      </c>
      <c r="P256">
        <v>4543.8999999999996</v>
      </c>
      <c r="Q256" s="1">
        <v>0.37969999999999998</v>
      </c>
      <c r="R25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56" s="2">
        <f>Tabela_base[[#This Row],[Total Streams (in millions)]]-(Tabela_base[[#This Row],[Lead Streams (in millions)]]+Tabela_base[[#This Row],[Feature Streams (in millions)]])</f>
        <v>-2.4000000000014552</v>
      </c>
    </row>
    <row r="257" spans="1:19" x14ac:dyDescent="0.3">
      <c r="A257" s="20">
        <v>256</v>
      </c>
      <c r="B257" t="s">
        <v>338</v>
      </c>
      <c r="C257" t="s">
        <v>44</v>
      </c>
      <c r="D257" t="s">
        <v>18</v>
      </c>
      <c r="E257" t="s">
        <v>19</v>
      </c>
      <c r="F257" t="s">
        <v>203</v>
      </c>
      <c r="G257" t="s">
        <v>21</v>
      </c>
      <c r="H257">
        <v>2009</v>
      </c>
      <c r="I257">
        <v>10048.299999999999</v>
      </c>
      <c r="J257">
        <v>3456.4</v>
      </c>
      <c r="K257" s="1">
        <v>0.34399999999999997</v>
      </c>
      <c r="L257">
        <v>6591.9</v>
      </c>
      <c r="M257" s="1">
        <v>0.65600000000000003</v>
      </c>
      <c r="N257">
        <v>257</v>
      </c>
      <c r="O257" s="1">
        <v>2.5600000000000001E-2</v>
      </c>
      <c r="P257">
        <v>9791.2999999999993</v>
      </c>
      <c r="Q257" s="1">
        <v>0.97440000000000004</v>
      </c>
      <c r="R25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57" s="2">
        <f>Tabela_base[[#This Row],[Total Streams (in millions)]]-(Tabela_base[[#This Row],[Lead Streams (in millions)]]+Tabela_base[[#This Row],[Feature Streams (in millions)]])</f>
        <v>0</v>
      </c>
    </row>
    <row r="258" spans="1:19" x14ac:dyDescent="0.3">
      <c r="A258" s="20">
        <v>257</v>
      </c>
      <c r="B258" t="s">
        <v>339</v>
      </c>
      <c r="C258" t="s">
        <v>17</v>
      </c>
      <c r="D258" t="s">
        <v>25</v>
      </c>
      <c r="E258" t="s">
        <v>19</v>
      </c>
      <c r="F258" t="s">
        <v>29</v>
      </c>
      <c r="G258" t="s">
        <v>21</v>
      </c>
      <c r="H258">
        <v>1969</v>
      </c>
      <c r="I258">
        <v>9909.5</v>
      </c>
      <c r="J258">
        <v>9912.7999999999993</v>
      </c>
      <c r="K258" s="1">
        <v>1.0003</v>
      </c>
      <c r="L258">
        <v>0</v>
      </c>
      <c r="M258" s="1">
        <v>0</v>
      </c>
      <c r="N258">
        <v>9909.5</v>
      </c>
      <c r="O258" s="1">
        <v>1</v>
      </c>
      <c r="P258">
        <v>0</v>
      </c>
      <c r="Q258" s="1">
        <v>0</v>
      </c>
      <c r="R25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258" s="2">
        <f>Tabela_base[[#This Row],[Total Streams (in millions)]]-(Tabela_base[[#This Row],[Lead Streams (in millions)]]+Tabela_base[[#This Row],[Feature Streams (in millions)]])</f>
        <v>-3.2999999999992724</v>
      </c>
    </row>
    <row r="259" spans="1:19" x14ac:dyDescent="0.3">
      <c r="A259" s="20">
        <v>258</v>
      </c>
      <c r="B259" t="s">
        <v>340</v>
      </c>
      <c r="C259" t="s">
        <v>17</v>
      </c>
      <c r="D259" t="s">
        <v>18</v>
      </c>
      <c r="E259" t="s">
        <v>41</v>
      </c>
      <c r="F259" t="s">
        <v>42</v>
      </c>
      <c r="G259" t="s">
        <v>23</v>
      </c>
      <c r="H259">
        <v>2009</v>
      </c>
      <c r="I259">
        <v>13994</v>
      </c>
      <c r="J259">
        <v>944.9</v>
      </c>
      <c r="K259" s="1">
        <v>6.7500000000000004E-2</v>
      </c>
      <c r="L259">
        <v>13049.1</v>
      </c>
      <c r="M259" s="1">
        <v>0.9325</v>
      </c>
      <c r="N259">
        <v>136</v>
      </c>
      <c r="O259" s="1">
        <v>9.7000000000000003E-3</v>
      </c>
      <c r="P259">
        <v>13858</v>
      </c>
      <c r="Q259" s="1">
        <v>0.99029999999999996</v>
      </c>
      <c r="R25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59" s="2">
        <f>Tabela_base[[#This Row],[Total Streams (in millions)]]-(Tabela_base[[#This Row],[Lead Streams (in millions)]]+Tabela_base[[#This Row],[Feature Streams (in millions)]])</f>
        <v>0</v>
      </c>
    </row>
    <row r="260" spans="1:19" x14ac:dyDescent="0.3">
      <c r="A260" s="20">
        <v>259</v>
      </c>
      <c r="B260" t="s">
        <v>341</v>
      </c>
      <c r="C260" t="s">
        <v>17</v>
      </c>
      <c r="D260" t="s">
        <v>154</v>
      </c>
      <c r="E260" t="s">
        <v>19</v>
      </c>
      <c r="F260" t="s">
        <v>46</v>
      </c>
      <c r="G260" t="s">
        <v>23</v>
      </c>
      <c r="H260">
        <v>2017</v>
      </c>
      <c r="I260">
        <v>14087.8</v>
      </c>
      <c r="J260">
        <v>14091.2</v>
      </c>
      <c r="K260" s="1">
        <v>1.0002</v>
      </c>
      <c r="L260">
        <v>0</v>
      </c>
      <c r="M260" s="1">
        <v>0</v>
      </c>
      <c r="N260">
        <v>13608.5</v>
      </c>
      <c r="O260" s="1">
        <v>0.96599999999999997</v>
      </c>
      <c r="P260">
        <v>479.3</v>
      </c>
      <c r="Q260" s="1">
        <v>3.4000000000000002E-2</v>
      </c>
      <c r="R26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260" s="2">
        <f>Tabela_base[[#This Row],[Total Streams (in millions)]]-(Tabela_base[[#This Row],[Lead Streams (in millions)]]+Tabela_base[[#This Row],[Feature Streams (in millions)]])</f>
        <v>-3.4000000000014552</v>
      </c>
    </row>
    <row r="261" spans="1:19" x14ac:dyDescent="0.3">
      <c r="A261" s="20">
        <v>260</v>
      </c>
      <c r="B261" t="s">
        <v>342</v>
      </c>
      <c r="C261" t="s">
        <v>17</v>
      </c>
      <c r="D261" t="s">
        <v>18</v>
      </c>
      <c r="E261" t="s">
        <v>19</v>
      </c>
      <c r="F261" t="s">
        <v>20</v>
      </c>
      <c r="G261" t="s">
        <v>23</v>
      </c>
      <c r="H261">
        <v>2017</v>
      </c>
      <c r="I261">
        <v>35931.9</v>
      </c>
      <c r="J261">
        <v>18773.5</v>
      </c>
      <c r="K261" s="1">
        <v>0.52249999999999996</v>
      </c>
      <c r="L261">
        <v>17171.5</v>
      </c>
      <c r="M261" s="1">
        <v>0.47789999999999999</v>
      </c>
      <c r="N261">
        <v>8928.7999999999993</v>
      </c>
      <c r="O261" s="1">
        <v>0.2485</v>
      </c>
      <c r="P261">
        <v>27003.1</v>
      </c>
      <c r="Q261" s="1">
        <v>0.75149999999999995</v>
      </c>
      <c r="R26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61" s="2">
        <f>Tabela_base[[#This Row],[Total Streams (in millions)]]-(Tabela_base[[#This Row],[Lead Streams (in millions)]]+Tabela_base[[#This Row],[Feature Streams (in millions)]])</f>
        <v>-13.099999999998545</v>
      </c>
    </row>
    <row r="262" spans="1:19" x14ac:dyDescent="0.3">
      <c r="A262" s="20">
        <v>261</v>
      </c>
      <c r="B262" t="s">
        <v>343</v>
      </c>
      <c r="C262" t="s">
        <v>17</v>
      </c>
      <c r="D262" t="s">
        <v>18</v>
      </c>
      <c r="E262" t="s">
        <v>19</v>
      </c>
      <c r="F262" t="s">
        <v>20</v>
      </c>
      <c r="G262" t="s">
        <v>23</v>
      </c>
      <c r="H262">
        <v>2011</v>
      </c>
      <c r="I262">
        <v>15329.4</v>
      </c>
      <c r="J262">
        <v>6848.7</v>
      </c>
      <c r="K262" s="1">
        <v>0.44679999999999997</v>
      </c>
      <c r="L262">
        <v>8480.7000000000007</v>
      </c>
      <c r="M262" s="1">
        <v>0.55320000000000003</v>
      </c>
      <c r="N262">
        <v>2898.8</v>
      </c>
      <c r="O262" s="1">
        <v>0.18909999999999999</v>
      </c>
      <c r="P262">
        <v>12430.6</v>
      </c>
      <c r="Q262" s="1">
        <v>0.81089999999999995</v>
      </c>
      <c r="R26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62" s="2">
        <f>Tabela_base[[#This Row],[Total Streams (in millions)]]-(Tabela_base[[#This Row],[Lead Streams (in millions)]]+Tabela_base[[#This Row],[Feature Streams (in millions)]])</f>
        <v>0</v>
      </c>
    </row>
    <row r="263" spans="1:19" x14ac:dyDescent="0.3">
      <c r="A263" s="20">
        <v>262</v>
      </c>
      <c r="B263" t="s">
        <v>344</v>
      </c>
      <c r="C263" t="s">
        <v>17</v>
      </c>
      <c r="D263" t="s">
        <v>18</v>
      </c>
      <c r="E263" t="s">
        <v>19</v>
      </c>
      <c r="F263" t="s">
        <v>20</v>
      </c>
      <c r="G263" t="s">
        <v>23</v>
      </c>
      <c r="H263">
        <v>2018</v>
      </c>
      <c r="I263">
        <v>13039.8</v>
      </c>
      <c r="J263">
        <v>12982.3</v>
      </c>
      <c r="K263" s="1">
        <v>0.99560000000000004</v>
      </c>
      <c r="L263">
        <v>59.7</v>
      </c>
      <c r="M263" s="1">
        <v>4.5999999999999999E-3</v>
      </c>
      <c r="N263">
        <v>7413.1</v>
      </c>
      <c r="O263" s="1">
        <v>0.56850000000000001</v>
      </c>
      <c r="P263">
        <v>5626.7</v>
      </c>
      <c r="Q263" s="1">
        <v>0.43149999999999999</v>
      </c>
      <c r="R26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63" s="2">
        <f>Tabela_base[[#This Row],[Total Streams (in millions)]]-(Tabela_base[[#This Row],[Lead Streams (in millions)]]+Tabela_base[[#This Row],[Feature Streams (in millions)]])</f>
        <v>-2.2000000000007276</v>
      </c>
    </row>
    <row r="264" spans="1:19" x14ac:dyDescent="0.3">
      <c r="A264" s="20">
        <v>263</v>
      </c>
      <c r="B264" t="s">
        <v>345</v>
      </c>
      <c r="C264" t="s">
        <v>17</v>
      </c>
      <c r="D264" t="s">
        <v>18</v>
      </c>
      <c r="E264" t="s">
        <v>19</v>
      </c>
      <c r="F264" t="s">
        <v>20</v>
      </c>
      <c r="G264" t="s">
        <v>23</v>
      </c>
      <c r="H264">
        <v>2014</v>
      </c>
      <c r="I264">
        <v>18649.5</v>
      </c>
      <c r="J264">
        <v>17855.2</v>
      </c>
      <c r="K264" s="1">
        <v>0.95740000000000003</v>
      </c>
      <c r="L264">
        <v>801</v>
      </c>
      <c r="M264" s="1">
        <v>4.2999999999999997E-2</v>
      </c>
      <c r="N264">
        <v>9452.7000000000007</v>
      </c>
      <c r="O264" s="1">
        <v>0.50690000000000002</v>
      </c>
      <c r="P264">
        <v>9196.7999999999993</v>
      </c>
      <c r="Q264" s="1">
        <v>0.49309999999999998</v>
      </c>
      <c r="R26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64" s="2">
        <f>Tabela_base[[#This Row],[Total Streams (in millions)]]-(Tabela_base[[#This Row],[Lead Streams (in millions)]]+Tabela_base[[#This Row],[Feature Streams (in millions)]])</f>
        <v>-6.7000000000007276</v>
      </c>
    </row>
    <row r="265" spans="1:19" x14ac:dyDescent="0.3">
      <c r="A265" s="20">
        <v>264</v>
      </c>
      <c r="B265" t="s">
        <v>346</v>
      </c>
      <c r="C265" t="s">
        <v>17</v>
      </c>
      <c r="D265" t="s">
        <v>18</v>
      </c>
      <c r="E265" t="s">
        <v>19</v>
      </c>
      <c r="F265" t="s">
        <v>20</v>
      </c>
      <c r="G265" t="s">
        <v>23</v>
      </c>
      <c r="H265">
        <v>2017</v>
      </c>
      <c r="I265">
        <v>11783.3</v>
      </c>
      <c r="J265">
        <v>10687.5</v>
      </c>
      <c r="K265" s="1">
        <v>0.90700000000000003</v>
      </c>
      <c r="L265">
        <v>1099.4000000000001</v>
      </c>
      <c r="M265" s="1">
        <v>9.3299999999999994E-2</v>
      </c>
      <c r="N265">
        <v>8809.7999999999993</v>
      </c>
      <c r="O265" s="1">
        <v>0.74770000000000003</v>
      </c>
      <c r="P265">
        <v>2973.5</v>
      </c>
      <c r="Q265" s="1">
        <v>0.25230000000000002</v>
      </c>
      <c r="R26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65" s="2">
        <f>Tabela_base[[#This Row],[Total Streams (in millions)]]-(Tabela_base[[#This Row],[Lead Streams (in millions)]]+Tabela_base[[#This Row],[Feature Streams (in millions)]])</f>
        <v>-3.6000000000003638</v>
      </c>
    </row>
    <row r="266" spans="1:19" x14ac:dyDescent="0.3">
      <c r="A266" s="20">
        <v>265</v>
      </c>
      <c r="B266" t="s">
        <v>347</v>
      </c>
      <c r="C266" t="s">
        <v>17</v>
      </c>
      <c r="D266" t="s">
        <v>18</v>
      </c>
      <c r="E266" t="s">
        <v>19</v>
      </c>
      <c r="F266" t="s">
        <v>20</v>
      </c>
      <c r="G266" t="s">
        <v>23</v>
      </c>
      <c r="H266">
        <v>2017</v>
      </c>
      <c r="I266">
        <v>9314.7999999999993</v>
      </c>
      <c r="J266">
        <v>5409.5</v>
      </c>
      <c r="K266" s="1">
        <v>0.58069999999999999</v>
      </c>
      <c r="L266">
        <v>3905.3</v>
      </c>
      <c r="M266" s="1">
        <v>0.41930000000000001</v>
      </c>
      <c r="N266">
        <v>1907.2</v>
      </c>
      <c r="O266" s="1">
        <v>0.20469999999999999</v>
      </c>
      <c r="P266">
        <v>7407.6</v>
      </c>
      <c r="Q266" s="1">
        <v>0.79530000000000001</v>
      </c>
      <c r="R26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66" s="2">
        <f>Tabela_base[[#This Row],[Total Streams (in millions)]]-(Tabela_base[[#This Row],[Lead Streams (in millions)]]+Tabela_base[[#This Row],[Feature Streams (in millions)]])</f>
        <v>0</v>
      </c>
    </row>
    <row r="267" spans="1:19" x14ac:dyDescent="0.3">
      <c r="A267" s="20">
        <v>266</v>
      </c>
      <c r="B267" t="s">
        <v>348</v>
      </c>
      <c r="C267" t="s">
        <v>17</v>
      </c>
      <c r="D267" t="s">
        <v>18</v>
      </c>
      <c r="E267" t="s">
        <v>19</v>
      </c>
      <c r="F267" t="s">
        <v>20</v>
      </c>
      <c r="G267" t="s">
        <v>23</v>
      </c>
      <c r="H267">
        <v>2014</v>
      </c>
      <c r="I267">
        <v>32115.9</v>
      </c>
      <c r="J267">
        <v>21117.5</v>
      </c>
      <c r="K267" s="1">
        <v>0.65749999999999997</v>
      </c>
      <c r="L267">
        <v>11006.6</v>
      </c>
      <c r="M267" s="1">
        <v>0.3427</v>
      </c>
      <c r="N267">
        <v>16803.2</v>
      </c>
      <c r="O267" s="1">
        <v>0.5232</v>
      </c>
      <c r="P267">
        <v>15312.7</v>
      </c>
      <c r="Q267" s="1">
        <v>0.4768</v>
      </c>
      <c r="R26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67" s="2">
        <f>Tabela_base[[#This Row],[Total Streams (in millions)]]-(Tabela_base[[#This Row],[Lead Streams (in millions)]]+Tabela_base[[#This Row],[Feature Streams (in millions)]])</f>
        <v>-8.1999999999970896</v>
      </c>
    </row>
    <row r="268" spans="1:19" x14ac:dyDescent="0.3">
      <c r="A268" s="20">
        <v>267</v>
      </c>
      <c r="B268" t="s">
        <v>349</v>
      </c>
      <c r="C268" t="s">
        <v>17</v>
      </c>
      <c r="D268" t="s">
        <v>18</v>
      </c>
      <c r="E268" t="s">
        <v>19</v>
      </c>
      <c r="F268" t="s">
        <v>20</v>
      </c>
      <c r="G268" t="s">
        <v>23</v>
      </c>
      <c r="H268">
        <v>1997</v>
      </c>
      <c r="I268">
        <v>40148.199999999997</v>
      </c>
      <c r="J268">
        <v>15870.4</v>
      </c>
      <c r="K268" s="1">
        <v>0.39529999999999998</v>
      </c>
      <c r="L268">
        <v>24279.9</v>
      </c>
      <c r="M268" s="1">
        <v>0.6048</v>
      </c>
      <c r="N268">
        <v>4050.9</v>
      </c>
      <c r="O268" s="1">
        <v>0.1009</v>
      </c>
      <c r="P268">
        <v>36097.300000000003</v>
      </c>
      <c r="Q268" s="1">
        <v>0.89910000000000001</v>
      </c>
      <c r="R26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68" s="2">
        <f>Tabela_base[[#This Row],[Total Streams (in millions)]]-(Tabela_base[[#This Row],[Lead Streams (in millions)]]+Tabela_base[[#This Row],[Feature Streams (in millions)]])</f>
        <v>-2.1000000000058208</v>
      </c>
    </row>
    <row r="269" spans="1:19" x14ac:dyDescent="0.3">
      <c r="A269" s="20">
        <v>268</v>
      </c>
      <c r="B269" t="s">
        <v>350</v>
      </c>
      <c r="C269" t="s">
        <v>17</v>
      </c>
      <c r="D269" t="s">
        <v>18</v>
      </c>
      <c r="E269" t="s">
        <v>19</v>
      </c>
      <c r="F269" t="s">
        <v>20</v>
      </c>
      <c r="G269" t="s">
        <v>23</v>
      </c>
      <c r="H269">
        <v>2015</v>
      </c>
      <c r="I269">
        <v>12823.8</v>
      </c>
      <c r="J269">
        <v>5535</v>
      </c>
      <c r="K269" s="1">
        <v>0.43159999999999998</v>
      </c>
      <c r="L269">
        <v>7288.8</v>
      </c>
      <c r="M269" s="1">
        <v>0.56840000000000002</v>
      </c>
      <c r="N269">
        <v>2109.1999999999998</v>
      </c>
      <c r="O269" s="1">
        <v>0.16450000000000001</v>
      </c>
      <c r="P269">
        <v>10714.6</v>
      </c>
      <c r="Q269" s="1">
        <v>0.83550000000000002</v>
      </c>
      <c r="R26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69" s="2">
        <f>Tabela_base[[#This Row],[Total Streams (in millions)]]-(Tabela_base[[#This Row],[Lead Streams (in millions)]]+Tabela_base[[#This Row],[Feature Streams (in millions)]])</f>
        <v>0</v>
      </c>
    </row>
    <row r="270" spans="1:19" x14ac:dyDescent="0.3">
      <c r="A270" s="20">
        <v>269</v>
      </c>
      <c r="B270" t="s">
        <v>351</v>
      </c>
      <c r="C270" t="s">
        <v>17</v>
      </c>
      <c r="D270" t="s">
        <v>18</v>
      </c>
      <c r="E270" t="s">
        <v>19</v>
      </c>
      <c r="F270" t="s">
        <v>352</v>
      </c>
      <c r="G270" t="s">
        <v>21</v>
      </c>
      <c r="H270">
        <v>1997</v>
      </c>
      <c r="I270">
        <v>7018.9</v>
      </c>
      <c r="J270">
        <v>7018.4</v>
      </c>
      <c r="K270" s="1">
        <v>0.99990000000000001</v>
      </c>
      <c r="L270">
        <v>5.4</v>
      </c>
      <c r="M270" s="1">
        <v>8.0000000000000004E-4</v>
      </c>
      <c r="N270">
        <v>6806</v>
      </c>
      <c r="O270" s="1">
        <v>0.96970000000000001</v>
      </c>
      <c r="P270">
        <v>212.9</v>
      </c>
      <c r="Q270" s="1">
        <v>3.0300000000000001E-2</v>
      </c>
      <c r="R27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70" s="2">
        <f>Tabela_base[[#This Row],[Total Streams (in millions)]]-(Tabela_base[[#This Row],[Lead Streams (in millions)]]+Tabela_base[[#This Row],[Feature Streams (in millions)]])</f>
        <v>-4.8999999999996362</v>
      </c>
    </row>
    <row r="271" spans="1:19" x14ac:dyDescent="0.3">
      <c r="A271" s="20">
        <v>270</v>
      </c>
      <c r="B271" t="s">
        <v>353</v>
      </c>
      <c r="C271" t="s">
        <v>44</v>
      </c>
      <c r="D271" t="s">
        <v>18</v>
      </c>
      <c r="E271" t="s">
        <v>19</v>
      </c>
      <c r="F271" t="s">
        <v>29</v>
      </c>
      <c r="G271" t="s">
        <v>21</v>
      </c>
      <c r="H271">
        <v>2000</v>
      </c>
      <c r="I271">
        <v>33224.699999999997</v>
      </c>
      <c r="J271">
        <v>31426.6</v>
      </c>
      <c r="K271" s="1">
        <v>0.94589999999999996</v>
      </c>
      <c r="L271">
        <v>1798.1</v>
      </c>
      <c r="M271" s="1">
        <v>5.4100000000000002E-2</v>
      </c>
      <c r="N271">
        <v>30151.200000000001</v>
      </c>
      <c r="O271" s="1">
        <v>0.90749999999999997</v>
      </c>
      <c r="P271">
        <v>3073.5</v>
      </c>
      <c r="Q271" s="1">
        <v>9.2499999999999999E-2</v>
      </c>
      <c r="R27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71" s="2">
        <f>Tabela_base[[#This Row],[Total Streams (in millions)]]-(Tabela_base[[#This Row],[Lead Streams (in millions)]]+Tabela_base[[#This Row],[Feature Streams (in millions)]])</f>
        <v>0</v>
      </c>
    </row>
    <row r="272" spans="1:19" x14ac:dyDescent="0.3">
      <c r="A272" s="20">
        <v>271</v>
      </c>
      <c r="B272" t="s">
        <v>354</v>
      </c>
      <c r="C272" t="s">
        <v>49</v>
      </c>
      <c r="D272" t="s">
        <v>25</v>
      </c>
      <c r="E272" t="s">
        <v>19</v>
      </c>
      <c r="F272" t="s">
        <v>46</v>
      </c>
      <c r="G272" t="s">
        <v>21</v>
      </c>
      <c r="H272">
        <v>2011</v>
      </c>
      <c r="I272">
        <v>10985.7</v>
      </c>
      <c r="J272">
        <v>0</v>
      </c>
      <c r="K272" s="1">
        <v>0</v>
      </c>
      <c r="L272">
        <v>11024.9</v>
      </c>
      <c r="M272" s="1">
        <v>1.0036</v>
      </c>
      <c r="N272">
        <v>6916.9</v>
      </c>
      <c r="O272" s="1">
        <v>0.62960000000000005</v>
      </c>
      <c r="P272">
        <v>4068.8</v>
      </c>
      <c r="Q272" s="1">
        <v>0.37040000000000001</v>
      </c>
      <c r="R27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272" s="2">
        <f>Tabela_base[[#This Row],[Total Streams (in millions)]]-(Tabela_base[[#This Row],[Lead Streams (in millions)]]+Tabela_base[[#This Row],[Feature Streams (in millions)]])</f>
        <v>-39.199999999998909</v>
      </c>
    </row>
    <row r="273" spans="1:19" x14ac:dyDescent="0.3">
      <c r="A273" s="20">
        <v>272</v>
      </c>
      <c r="B273" t="s">
        <v>355</v>
      </c>
      <c r="C273" t="s">
        <v>17</v>
      </c>
      <c r="D273" t="s">
        <v>18</v>
      </c>
      <c r="E273" t="s">
        <v>19</v>
      </c>
      <c r="F273" t="s">
        <v>20</v>
      </c>
      <c r="G273" t="s">
        <v>23</v>
      </c>
      <c r="H273">
        <v>2009</v>
      </c>
      <c r="I273">
        <v>12994.4</v>
      </c>
      <c r="J273">
        <v>12999.7</v>
      </c>
      <c r="K273" s="1">
        <v>1.0004</v>
      </c>
      <c r="L273">
        <v>0</v>
      </c>
      <c r="M273" s="1">
        <v>0</v>
      </c>
      <c r="N273">
        <v>5593.4</v>
      </c>
      <c r="O273" s="1">
        <v>0.4304</v>
      </c>
      <c r="P273">
        <v>7401</v>
      </c>
      <c r="Q273" s="1">
        <v>0.5696</v>
      </c>
      <c r="R27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273" s="2">
        <f>Tabela_base[[#This Row],[Total Streams (in millions)]]-(Tabela_base[[#This Row],[Lead Streams (in millions)]]+Tabela_base[[#This Row],[Feature Streams (in millions)]])</f>
        <v>-5.3000000000010914</v>
      </c>
    </row>
    <row r="274" spans="1:19" x14ac:dyDescent="0.3">
      <c r="A274" s="20">
        <v>273</v>
      </c>
      <c r="B274" t="s">
        <v>356</v>
      </c>
      <c r="C274" t="s">
        <v>49</v>
      </c>
      <c r="D274" t="s">
        <v>357</v>
      </c>
      <c r="E274" t="s">
        <v>19</v>
      </c>
      <c r="F274" t="s">
        <v>46</v>
      </c>
      <c r="G274" t="s">
        <v>23</v>
      </c>
      <c r="H274">
        <v>2012</v>
      </c>
      <c r="I274">
        <v>11721</v>
      </c>
      <c r="J274">
        <v>11036</v>
      </c>
      <c r="K274" s="1">
        <v>0.94159999999999999</v>
      </c>
      <c r="L274">
        <v>689</v>
      </c>
      <c r="M274" s="1">
        <v>5.8799999999999998E-2</v>
      </c>
      <c r="N274">
        <v>10605.6</v>
      </c>
      <c r="O274" s="1">
        <v>0.90480000000000005</v>
      </c>
      <c r="P274">
        <v>1115.4000000000001</v>
      </c>
      <c r="Q274" s="1">
        <v>9.5200000000000007E-2</v>
      </c>
      <c r="R27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74" s="2">
        <f>Tabela_base[[#This Row],[Total Streams (in millions)]]-(Tabela_base[[#This Row],[Lead Streams (in millions)]]+Tabela_base[[#This Row],[Feature Streams (in millions)]])</f>
        <v>-4</v>
      </c>
    </row>
    <row r="275" spans="1:19" x14ac:dyDescent="0.3">
      <c r="A275" s="20">
        <v>274</v>
      </c>
      <c r="B275" t="s">
        <v>358</v>
      </c>
      <c r="C275" t="s">
        <v>44</v>
      </c>
      <c r="D275" t="s">
        <v>57</v>
      </c>
      <c r="E275" t="s">
        <v>41</v>
      </c>
      <c r="F275" t="s">
        <v>58</v>
      </c>
      <c r="G275" t="s">
        <v>21</v>
      </c>
      <c r="H275">
        <v>1982</v>
      </c>
      <c r="I275">
        <v>7838.9</v>
      </c>
      <c r="J275">
        <v>7528</v>
      </c>
      <c r="K275" s="1">
        <v>0.96030000000000004</v>
      </c>
      <c r="L275">
        <v>310.89999999999998</v>
      </c>
      <c r="M275" s="1">
        <v>3.9699999999999999E-2</v>
      </c>
      <c r="N275">
        <v>2829.8</v>
      </c>
      <c r="O275" s="1">
        <v>0.36099999999999999</v>
      </c>
      <c r="P275">
        <v>5009.1000000000004</v>
      </c>
      <c r="Q275" s="1">
        <v>0.63900000000000001</v>
      </c>
      <c r="R27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75" s="2">
        <f>Tabela_base[[#This Row],[Total Streams (in millions)]]-(Tabela_base[[#This Row],[Lead Streams (in millions)]]+Tabela_base[[#This Row],[Feature Streams (in millions)]])</f>
        <v>0</v>
      </c>
    </row>
    <row r="276" spans="1:19" x14ac:dyDescent="0.3">
      <c r="A276" s="20">
        <v>275</v>
      </c>
      <c r="B276" t="s">
        <v>359</v>
      </c>
      <c r="C276" t="s">
        <v>17</v>
      </c>
      <c r="D276" t="s">
        <v>57</v>
      </c>
      <c r="E276" t="s">
        <v>41</v>
      </c>
      <c r="F276" t="s">
        <v>58</v>
      </c>
      <c r="G276" t="s">
        <v>21</v>
      </c>
      <c r="H276">
        <v>1977</v>
      </c>
      <c r="I276">
        <v>7059.2</v>
      </c>
      <c r="J276">
        <v>6607.2</v>
      </c>
      <c r="K276" s="1">
        <v>0.93600000000000005</v>
      </c>
      <c r="L276">
        <v>446.9</v>
      </c>
      <c r="M276" s="1">
        <v>6.3299999999999995E-2</v>
      </c>
      <c r="N276">
        <v>7059.2</v>
      </c>
      <c r="O276" s="1">
        <v>1</v>
      </c>
      <c r="P276">
        <v>0</v>
      </c>
      <c r="Q276" s="1">
        <v>0</v>
      </c>
      <c r="R27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76" s="2">
        <f>Tabela_base[[#This Row],[Total Streams (in millions)]]-(Tabela_base[[#This Row],[Lead Streams (in millions)]]+Tabela_base[[#This Row],[Feature Streams (in millions)]])</f>
        <v>5.1000000000003638</v>
      </c>
    </row>
    <row r="277" spans="1:19" x14ac:dyDescent="0.3">
      <c r="A277" s="20">
        <v>276</v>
      </c>
      <c r="B277" t="s">
        <v>360</v>
      </c>
      <c r="C277" t="s">
        <v>17</v>
      </c>
      <c r="D277" t="s">
        <v>361</v>
      </c>
      <c r="E277" t="s">
        <v>19</v>
      </c>
      <c r="F277" t="s">
        <v>55</v>
      </c>
      <c r="G277" t="s">
        <v>23</v>
      </c>
      <c r="H277">
        <v>2014</v>
      </c>
      <c r="I277">
        <v>8699.2000000000007</v>
      </c>
      <c r="J277">
        <v>8316.2000000000007</v>
      </c>
      <c r="K277" s="1">
        <v>0.95599999999999996</v>
      </c>
      <c r="L277">
        <v>386.2</v>
      </c>
      <c r="M277" s="1">
        <v>4.4400000000000002E-2</v>
      </c>
      <c r="N277">
        <v>1923.6</v>
      </c>
      <c r="O277" s="1">
        <v>0.22109999999999999</v>
      </c>
      <c r="P277">
        <v>6775.6</v>
      </c>
      <c r="Q277" s="1">
        <v>0.77890000000000004</v>
      </c>
      <c r="R27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77" s="2">
        <f>Tabela_base[[#This Row],[Total Streams (in millions)]]-(Tabela_base[[#This Row],[Lead Streams (in millions)]]+Tabela_base[[#This Row],[Feature Streams (in millions)]])</f>
        <v>-3.2000000000007276</v>
      </c>
    </row>
    <row r="278" spans="1:19" x14ac:dyDescent="0.3">
      <c r="A278" s="20">
        <v>277</v>
      </c>
      <c r="B278" t="s">
        <v>362</v>
      </c>
      <c r="C278" t="s">
        <v>17</v>
      </c>
      <c r="D278" t="s">
        <v>70</v>
      </c>
      <c r="E278" t="s">
        <v>71</v>
      </c>
      <c r="F278" t="s">
        <v>76</v>
      </c>
      <c r="G278" t="s">
        <v>23</v>
      </c>
      <c r="H278">
        <v>2009</v>
      </c>
      <c r="I278">
        <v>7416.8</v>
      </c>
      <c r="J278">
        <v>4668.1000000000004</v>
      </c>
      <c r="K278" s="1">
        <v>0.62939999999999996</v>
      </c>
      <c r="L278">
        <v>2767</v>
      </c>
      <c r="M278" s="1">
        <v>0.37309999999999999</v>
      </c>
      <c r="N278">
        <v>4913.6000000000004</v>
      </c>
      <c r="O278" s="1">
        <v>0.66249999999999998</v>
      </c>
      <c r="P278">
        <v>2503.1999999999998</v>
      </c>
      <c r="Q278" s="1">
        <v>0.33750000000000002</v>
      </c>
      <c r="R27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78" s="2">
        <f>Tabela_base[[#This Row],[Total Streams (in millions)]]-(Tabela_base[[#This Row],[Lead Streams (in millions)]]+Tabela_base[[#This Row],[Feature Streams (in millions)]])</f>
        <v>-18.300000000000182</v>
      </c>
    </row>
    <row r="279" spans="1:19" x14ac:dyDescent="0.3">
      <c r="A279" s="20">
        <v>278</v>
      </c>
      <c r="B279" t="s">
        <v>363</v>
      </c>
      <c r="C279" t="s">
        <v>17</v>
      </c>
      <c r="D279" t="s">
        <v>18</v>
      </c>
      <c r="E279" t="s">
        <v>19</v>
      </c>
      <c r="F279" t="s">
        <v>20</v>
      </c>
      <c r="G279" t="s">
        <v>23</v>
      </c>
      <c r="H279">
        <v>1999</v>
      </c>
      <c r="I279">
        <v>10293</v>
      </c>
      <c r="J279">
        <v>6016.2</v>
      </c>
      <c r="K279" s="1">
        <v>0.58450000000000002</v>
      </c>
      <c r="L279">
        <v>4284.3</v>
      </c>
      <c r="M279" s="1">
        <v>0.41620000000000001</v>
      </c>
      <c r="N279">
        <v>745.9</v>
      </c>
      <c r="O279" s="1">
        <v>7.2499999999999995E-2</v>
      </c>
      <c r="P279">
        <v>9547.1</v>
      </c>
      <c r="Q279" s="1">
        <v>0.92749999999999999</v>
      </c>
      <c r="R27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79" s="2">
        <f>Tabela_base[[#This Row],[Total Streams (in millions)]]-(Tabela_base[[#This Row],[Lead Streams (in millions)]]+Tabela_base[[#This Row],[Feature Streams (in millions)]])</f>
        <v>-7.5</v>
      </c>
    </row>
    <row r="280" spans="1:19" x14ac:dyDescent="0.3">
      <c r="A280" s="20">
        <v>279</v>
      </c>
      <c r="B280" t="s">
        <v>364</v>
      </c>
      <c r="C280" t="s">
        <v>17</v>
      </c>
      <c r="D280" t="s">
        <v>18</v>
      </c>
      <c r="E280" t="s">
        <v>41</v>
      </c>
      <c r="F280" t="s">
        <v>58</v>
      </c>
      <c r="G280" t="s">
        <v>23</v>
      </c>
      <c r="H280">
        <v>1998</v>
      </c>
      <c r="I280">
        <v>9862.6</v>
      </c>
      <c r="J280">
        <v>4889.8</v>
      </c>
      <c r="K280" s="1">
        <v>0.49580000000000002</v>
      </c>
      <c r="L280">
        <v>4976.3999999999996</v>
      </c>
      <c r="M280" s="1">
        <v>0.50460000000000005</v>
      </c>
      <c r="N280">
        <v>1538.9</v>
      </c>
      <c r="O280" s="1">
        <v>0.156</v>
      </c>
      <c r="P280">
        <v>8323.7000000000007</v>
      </c>
      <c r="Q280" s="1">
        <v>0.84399999999999997</v>
      </c>
      <c r="R28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80" s="2">
        <f>Tabela_base[[#This Row],[Total Streams (in millions)]]-(Tabela_base[[#This Row],[Lead Streams (in millions)]]+Tabela_base[[#This Row],[Feature Streams (in millions)]])</f>
        <v>-3.6000000000003638</v>
      </c>
    </row>
    <row r="281" spans="1:19" x14ac:dyDescent="0.3">
      <c r="A281" s="20">
        <v>280</v>
      </c>
      <c r="B281" t="s">
        <v>365</v>
      </c>
      <c r="C281" t="s">
        <v>17</v>
      </c>
      <c r="D281" t="s">
        <v>57</v>
      </c>
      <c r="E281" t="s">
        <v>41</v>
      </c>
      <c r="F281" t="s">
        <v>58</v>
      </c>
      <c r="G281" t="s">
        <v>23</v>
      </c>
      <c r="H281">
        <v>1982</v>
      </c>
      <c r="I281">
        <v>17314.099999999999</v>
      </c>
      <c r="J281">
        <v>17301.5</v>
      </c>
      <c r="K281" s="1">
        <v>0.99929999999999997</v>
      </c>
      <c r="L281">
        <v>20</v>
      </c>
      <c r="M281" s="1">
        <v>1.1999999999999999E-3</v>
      </c>
      <c r="N281">
        <v>17281</v>
      </c>
      <c r="O281" s="1">
        <v>0.99809999999999999</v>
      </c>
      <c r="P281">
        <v>33.1</v>
      </c>
      <c r="Q281" s="1">
        <v>1.9E-3</v>
      </c>
      <c r="R28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81" s="2">
        <f>Tabela_base[[#This Row],[Total Streams (in millions)]]-(Tabela_base[[#This Row],[Lead Streams (in millions)]]+Tabela_base[[#This Row],[Feature Streams (in millions)]])</f>
        <v>-7.4000000000014552</v>
      </c>
    </row>
    <row r="282" spans="1:19" x14ac:dyDescent="0.3">
      <c r="A282" s="20">
        <v>281</v>
      </c>
      <c r="B282" t="s">
        <v>366</v>
      </c>
      <c r="C282" t="s">
        <v>17</v>
      </c>
      <c r="D282" t="s">
        <v>57</v>
      </c>
      <c r="E282" t="s">
        <v>41</v>
      </c>
      <c r="F282" t="s">
        <v>65</v>
      </c>
      <c r="G282" t="s">
        <v>23</v>
      </c>
      <c r="H282">
        <v>2018</v>
      </c>
      <c r="I282">
        <v>12810.9</v>
      </c>
      <c r="J282">
        <v>6582.9</v>
      </c>
      <c r="K282" s="1">
        <v>0.51390000000000002</v>
      </c>
      <c r="L282">
        <v>6236.2</v>
      </c>
      <c r="M282" s="1">
        <v>0.48680000000000001</v>
      </c>
      <c r="N282">
        <v>1707.5</v>
      </c>
      <c r="O282" s="1">
        <v>0.1333</v>
      </c>
      <c r="P282">
        <v>11103.4</v>
      </c>
      <c r="Q282" s="1">
        <v>0.86670000000000003</v>
      </c>
      <c r="R28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82" s="2">
        <f>Tabela_base[[#This Row],[Total Streams (in millions)]]-(Tabela_base[[#This Row],[Lead Streams (in millions)]]+Tabela_base[[#This Row],[Feature Streams (in millions)]])</f>
        <v>-8.1999999999989086</v>
      </c>
    </row>
    <row r="283" spans="1:19" x14ac:dyDescent="0.3">
      <c r="A283" s="20">
        <v>282</v>
      </c>
      <c r="B283" t="s">
        <v>367</v>
      </c>
      <c r="C283" t="s">
        <v>17</v>
      </c>
      <c r="D283" t="s">
        <v>18</v>
      </c>
      <c r="E283" t="s">
        <v>19</v>
      </c>
      <c r="F283" t="s">
        <v>171</v>
      </c>
      <c r="G283" t="s">
        <v>23</v>
      </c>
      <c r="H283">
        <v>2007</v>
      </c>
      <c r="I283">
        <v>9213.5</v>
      </c>
      <c r="J283">
        <v>9212.7000000000007</v>
      </c>
      <c r="K283" s="1">
        <v>0.99990000000000001</v>
      </c>
      <c r="L283">
        <v>8.3000000000000007</v>
      </c>
      <c r="M283" s="1">
        <v>8.9999999999999998E-4</v>
      </c>
      <c r="N283">
        <v>7646.2</v>
      </c>
      <c r="O283" s="1">
        <v>0.82989999999999997</v>
      </c>
      <c r="P283">
        <v>1567.3</v>
      </c>
      <c r="Q283" s="1">
        <v>0.1701</v>
      </c>
      <c r="R28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83" s="2">
        <f>Tabela_base[[#This Row],[Total Streams (in millions)]]-(Tabela_base[[#This Row],[Lead Streams (in millions)]]+Tabela_base[[#This Row],[Feature Streams (in millions)]])</f>
        <v>-7.5</v>
      </c>
    </row>
    <row r="284" spans="1:19" x14ac:dyDescent="0.3">
      <c r="A284" s="20">
        <v>283</v>
      </c>
      <c r="B284" t="s">
        <v>368</v>
      </c>
      <c r="C284" t="s">
        <v>17</v>
      </c>
      <c r="D284" t="s">
        <v>18</v>
      </c>
      <c r="E284" t="s">
        <v>19</v>
      </c>
      <c r="F284" t="s">
        <v>171</v>
      </c>
      <c r="G284" t="s">
        <v>23</v>
      </c>
      <c r="H284">
        <v>2014</v>
      </c>
      <c r="I284">
        <v>19101.599999999999</v>
      </c>
      <c r="J284">
        <v>17465.400000000001</v>
      </c>
      <c r="K284" s="1">
        <v>0.9143</v>
      </c>
      <c r="L284">
        <v>1647.2</v>
      </c>
      <c r="M284" s="1">
        <v>8.6199999999999999E-2</v>
      </c>
      <c r="N284">
        <v>16648</v>
      </c>
      <c r="O284" s="1">
        <v>0.87160000000000004</v>
      </c>
      <c r="P284">
        <v>2453.6</v>
      </c>
      <c r="Q284" s="1">
        <v>0.12839999999999999</v>
      </c>
      <c r="R28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84" s="2">
        <f>Tabela_base[[#This Row],[Total Streams (in millions)]]-(Tabela_base[[#This Row],[Lead Streams (in millions)]]+Tabela_base[[#This Row],[Feature Streams (in millions)]])</f>
        <v>-11.000000000003638</v>
      </c>
    </row>
    <row r="285" spans="1:19" x14ac:dyDescent="0.3">
      <c r="A285" s="20">
        <v>284</v>
      </c>
      <c r="B285" t="s">
        <v>369</v>
      </c>
      <c r="C285" t="s">
        <v>49</v>
      </c>
      <c r="D285" t="s">
        <v>370</v>
      </c>
      <c r="E285" t="s">
        <v>19</v>
      </c>
      <c r="F285" t="s">
        <v>46</v>
      </c>
      <c r="G285" t="s">
        <v>23</v>
      </c>
      <c r="H285">
        <v>2006</v>
      </c>
      <c r="I285">
        <v>7335.2</v>
      </c>
      <c r="J285">
        <v>6735.6</v>
      </c>
      <c r="K285" s="1">
        <v>0.91830000000000001</v>
      </c>
      <c r="L285">
        <v>602</v>
      </c>
      <c r="M285" s="1">
        <v>8.2100000000000006E-2</v>
      </c>
      <c r="N285">
        <v>1341.8</v>
      </c>
      <c r="O285" s="1">
        <v>0.18290000000000001</v>
      </c>
      <c r="P285">
        <v>5993.4</v>
      </c>
      <c r="Q285" s="1">
        <v>0.81710000000000005</v>
      </c>
      <c r="R28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85" s="2">
        <f>Tabela_base[[#This Row],[Total Streams (in millions)]]-(Tabela_base[[#This Row],[Lead Streams (in millions)]]+Tabela_base[[#This Row],[Feature Streams (in millions)]])</f>
        <v>-2.4000000000005457</v>
      </c>
    </row>
    <row r="286" spans="1:19" x14ac:dyDescent="0.3">
      <c r="A286" s="20">
        <v>285</v>
      </c>
      <c r="B286" t="s">
        <v>371</v>
      </c>
      <c r="C286" t="s">
        <v>44</v>
      </c>
      <c r="D286" t="s">
        <v>372</v>
      </c>
      <c r="E286" t="s">
        <v>373</v>
      </c>
      <c r="F286" t="s">
        <v>29</v>
      </c>
      <c r="G286" t="s">
        <v>21</v>
      </c>
      <c r="H286">
        <v>2017</v>
      </c>
      <c r="I286">
        <v>9899.4</v>
      </c>
      <c r="J286">
        <v>9883</v>
      </c>
      <c r="K286" s="1">
        <v>0.99829999999999997</v>
      </c>
      <c r="L286">
        <v>20.100000000000001</v>
      </c>
      <c r="M286" s="1">
        <v>2E-3</v>
      </c>
      <c r="N286">
        <v>9351.9</v>
      </c>
      <c r="O286" s="1">
        <v>0.94469999999999998</v>
      </c>
      <c r="P286">
        <v>547.5</v>
      </c>
      <c r="Q286" s="1">
        <v>5.5300000000000002E-2</v>
      </c>
      <c r="R28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86" s="2">
        <f>Tabela_base[[#This Row],[Total Streams (in millions)]]-(Tabela_base[[#This Row],[Lead Streams (in millions)]]+Tabela_base[[#This Row],[Feature Streams (in millions)]])</f>
        <v>-3.7000000000007276</v>
      </c>
    </row>
    <row r="287" spans="1:19" x14ac:dyDescent="0.3">
      <c r="A287" s="20">
        <v>286</v>
      </c>
      <c r="B287" t="s">
        <v>374</v>
      </c>
      <c r="C287" t="s">
        <v>17</v>
      </c>
      <c r="D287" t="s">
        <v>62</v>
      </c>
      <c r="E287" t="s">
        <v>19</v>
      </c>
      <c r="F287" t="s">
        <v>29</v>
      </c>
      <c r="G287" t="s">
        <v>23</v>
      </c>
      <c r="H287">
        <v>2012</v>
      </c>
      <c r="I287">
        <v>9970.2000000000007</v>
      </c>
      <c r="J287">
        <v>9813.7000000000007</v>
      </c>
      <c r="K287" s="1">
        <v>0.98429999999999995</v>
      </c>
      <c r="L287">
        <v>161.5</v>
      </c>
      <c r="M287" s="1">
        <v>1.6199999999999999E-2</v>
      </c>
      <c r="N287">
        <v>9795.7999999999993</v>
      </c>
      <c r="O287" s="1">
        <v>0.98250000000000004</v>
      </c>
      <c r="P287">
        <v>174.4</v>
      </c>
      <c r="Q287" s="1">
        <v>1.7500000000000002E-2</v>
      </c>
      <c r="R28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87" s="2">
        <f>Tabela_base[[#This Row],[Total Streams (in millions)]]-(Tabela_base[[#This Row],[Lead Streams (in millions)]]+Tabela_base[[#This Row],[Feature Streams (in millions)]])</f>
        <v>-5</v>
      </c>
    </row>
    <row r="288" spans="1:19" x14ac:dyDescent="0.3">
      <c r="A288" s="20">
        <v>287</v>
      </c>
      <c r="B288" t="s">
        <v>375</v>
      </c>
      <c r="C288" t="s">
        <v>17</v>
      </c>
      <c r="D288" t="s">
        <v>18</v>
      </c>
      <c r="E288" t="s">
        <v>19</v>
      </c>
      <c r="F288" t="s">
        <v>20</v>
      </c>
      <c r="G288" t="s">
        <v>23</v>
      </c>
      <c r="H288">
        <v>2007</v>
      </c>
      <c r="I288">
        <v>20091.099999999999</v>
      </c>
      <c r="J288">
        <v>18765.5</v>
      </c>
      <c r="K288" s="1">
        <v>0.93400000000000005</v>
      </c>
      <c r="L288">
        <v>1328</v>
      </c>
      <c r="M288" s="1">
        <v>6.6100000000000006E-2</v>
      </c>
      <c r="N288">
        <v>12865.2</v>
      </c>
      <c r="O288" s="1">
        <v>0.64029999999999998</v>
      </c>
      <c r="P288">
        <v>7225.9</v>
      </c>
      <c r="Q288" s="1">
        <v>0.35970000000000002</v>
      </c>
      <c r="R28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88" s="2">
        <f>Tabela_base[[#This Row],[Total Streams (in millions)]]-(Tabela_base[[#This Row],[Lead Streams (in millions)]]+Tabela_base[[#This Row],[Feature Streams (in millions)]])</f>
        <v>-2.4000000000014552</v>
      </c>
    </row>
    <row r="289" spans="1:19" x14ac:dyDescent="0.3">
      <c r="A289" s="20">
        <v>288</v>
      </c>
      <c r="B289" t="s">
        <v>376</v>
      </c>
      <c r="C289" t="s">
        <v>17</v>
      </c>
      <c r="D289" t="s">
        <v>18</v>
      </c>
      <c r="E289" t="s">
        <v>19</v>
      </c>
      <c r="F289" t="s">
        <v>20</v>
      </c>
      <c r="G289" t="s">
        <v>23</v>
      </c>
      <c r="H289">
        <v>2000</v>
      </c>
      <c r="I289">
        <v>12593.2</v>
      </c>
      <c r="J289">
        <v>6266</v>
      </c>
      <c r="K289" s="1">
        <v>0.49759999999999999</v>
      </c>
      <c r="L289">
        <v>6330.7</v>
      </c>
      <c r="M289" s="1">
        <v>0.50270000000000004</v>
      </c>
      <c r="N289">
        <v>351.5</v>
      </c>
      <c r="O289" s="1">
        <v>2.7900000000000001E-2</v>
      </c>
      <c r="P289">
        <v>12241.7</v>
      </c>
      <c r="Q289" s="1">
        <v>0.97209999999999996</v>
      </c>
      <c r="R28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89" s="2">
        <f>Tabela_base[[#This Row],[Total Streams (in millions)]]-(Tabela_base[[#This Row],[Lead Streams (in millions)]]+Tabela_base[[#This Row],[Feature Streams (in millions)]])</f>
        <v>-3.5</v>
      </c>
    </row>
    <row r="290" spans="1:19" x14ac:dyDescent="0.3">
      <c r="A290" s="20">
        <v>289</v>
      </c>
      <c r="B290" t="s">
        <v>377</v>
      </c>
      <c r="C290" t="s">
        <v>44</v>
      </c>
      <c r="D290" t="s">
        <v>18</v>
      </c>
      <c r="E290" t="s">
        <v>19</v>
      </c>
      <c r="F290" t="s">
        <v>20</v>
      </c>
      <c r="G290" t="s">
        <v>21</v>
      </c>
      <c r="H290">
        <v>2009</v>
      </c>
      <c r="I290">
        <v>7347.9</v>
      </c>
      <c r="J290">
        <v>6711.8</v>
      </c>
      <c r="K290" s="1">
        <v>0.91339999999999999</v>
      </c>
      <c r="L290">
        <v>643.70000000000005</v>
      </c>
      <c r="M290" s="1">
        <v>8.7599999999999997E-2</v>
      </c>
      <c r="N290">
        <v>114.9</v>
      </c>
      <c r="O290" s="1">
        <v>1.5599999999999999E-2</v>
      </c>
      <c r="P290">
        <v>7233</v>
      </c>
      <c r="Q290" s="1">
        <v>0.98440000000000005</v>
      </c>
      <c r="R29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90" s="2">
        <f>Tabela_base[[#This Row],[Total Streams (in millions)]]-(Tabela_base[[#This Row],[Lead Streams (in millions)]]+Tabela_base[[#This Row],[Feature Streams (in millions)]])</f>
        <v>-7.6000000000003638</v>
      </c>
    </row>
    <row r="291" spans="1:19" x14ac:dyDescent="0.3">
      <c r="A291" s="20">
        <v>290</v>
      </c>
      <c r="B291" t="s">
        <v>378</v>
      </c>
      <c r="C291" t="s">
        <v>49</v>
      </c>
      <c r="D291" t="s">
        <v>18</v>
      </c>
      <c r="E291" t="s">
        <v>19</v>
      </c>
      <c r="F291" t="s">
        <v>46</v>
      </c>
      <c r="G291" t="s">
        <v>23</v>
      </c>
      <c r="H291">
        <v>1982</v>
      </c>
      <c r="I291">
        <v>11879.6</v>
      </c>
      <c r="J291">
        <v>10122.700000000001</v>
      </c>
      <c r="K291" s="1">
        <v>0.85209999999999997</v>
      </c>
      <c r="L291">
        <v>1768.2</v>
      </c>
      <c r="M291" s="1">
        <v>0.14879999999999999</v>
      </c>
      <c r="N291">
        <v>8527.5</v>
      </c>
      <c r="O291" s="1">
        <v>0.71779999999999999</v>
      </c>
      <c r="P291">
        <v>3352.1</v>
      </c>
      <c r="Q291" s="1">
        <v>0.28220000000000001</v>
      </c>
      <c r="R29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91" s="2">
        <f>Tabela_base[[#This Row],[Total Streams (in millions)]]-(Tabela_base[[#This Row],[Lead Streams (in millions)]]+Tabela_base[[#This Row],[Feature Streams (in millions)]])</f>
        <v>-11.300000000001091</v>
      </c>
    </row>
    <row r="292" spans="1:19" x14ac:dyDescent="0.3">
      <c r="A292" s="20">
        <v>291</v>
      </c>
      <c r="B292" t="s">
        <v>379</v>
      </c>
      <c r="C292" t="s">
        <v>49</v>
      </c>
      <c r="D292" t="s">
        <v>372</v>
      </c>
      <c r="E292" t="s">
        <v>373</v>
      </c>
      <c r="F292" t="s">
        <v>46</v>
      </c>
      <c r="G292" t="s">
        <v>23</v>
      </c>
      <c r="H292">
        <v>1997</v>
      </c>
      <c r="I292">
        <v>7239.7</v>
      </c>
      <c r="J292">
        <v>0</v>
      </c>
      <c r="K292" s="1">
        <v>0</v>
      </c>
      <c r="L292">
        <v>7239.7</v>
      </c>
      <c r="M292" s="1">
        <v>1</v>
      </c>
      <c r="N292">
        <v>0</v>
      </c>
      <c r="O292" s="1">
        <v>0</v>
      </c>
      <c r="P292">
        <v>7239.7</v>
      </c>
      <c r="Q292" s="1">
        <v>1</v>
      </c>
      <c r="R29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92" s="2">
        <f>Tabela_base[[#This Row],[Total Streams (in millions)]]-(Tabela_base[[#This Row],[Lead Streams (in millions)]]+Tabela_base[[#This Row],[Feature Streams (in millions)]])</f>
        <v>0</v>
      </c>
    </row>
    <row r="293" spans="1:19" x14ac:dyDescent="0.3">
      <c r="A293" s="20">
        <v>292</v>
      </c>
      <c r="B293" t="s">
        <v>380</v>
      </c>
      <c r="C293" t="s">
        <v>49</v>
      </c>
      <c r="D293" t="s">
        <v>70</v>
      </c>
      <c r="E293" t="s">
        <v>71</v>
      </c>
      <c r="F293" t="s">
        <v>76</v>
      </c>
      <c r="G293" t="s">
        <v>21</v>
      </c>
      <c r="H293">
        <v>2013</v>
      </c>
      <c r="I293">
        <v>7388.4</v>
      </c>
      <c r="J293">
        <v>3471.7</v>
      </c>
      <c r="K293" s="1">
        <v>0.46989999999999998</v>
      </c>
      <c r="L293">
        <v>3933.9</v>
      </c>
      <c r="M293" s="1">
        <v>0.53239999999999998</v>
      </c>
      <c r="N293">
        <v>2317.8000000000002</v>
      </c>
      <c r="O293" s="1">
        <v>0.31369999999999998</v>
      </c>
      <c r="P293">
        <v>5070.6000000000004</v>
      </c>
      <c r="Q293" s="1">
        <v>0.68630000000000002</v>
      </c>
      <c r="R29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93" s="2">
        <f>Tabela_base[[#This Row],[Total Streams (in millions)]]-(Tabela_base[[#This Row],[Lead Streams (in millions)]]+Tabela_base[[#This Row],[Feature Streams (in millions)]])</f>
        <v>-17.200000000000728</v>
      </c>
    </row>
    <row r="294" spans="1:19" x14ac:dyDescent="0.3">
      <c r="A294" s="20">
        <v>293</v>
      </c>
      <c r="B294" t="s">
        <v>381</v>
      </c>
      <c r="C294" t="s">
        <v>44</v>
      </c>
      <c r="D294" t="s">
        <v>18</v>
      </c>
      <c r="E294" t="s">
        <v>19</v>
      </c>
      <c r="F294" t="s">
        <v>55</v>
      </c>
      <c r="G294" t="s">
        <v>21</v>
      </c>
      <c r="H294">
        <v>2009</v>
      </c>
      <c r="I294">
        <v>13220.4</v>
      </c>
      <c r="J294">
        <v>11619.7</v>
      </c>
      <c r="K294" s="1">
        <v>0.87890000000000001</v>
      </c>
      <c r="L294">
        <v>1604</v>
      </c>
      <c r="M294" s="1">
        <v>0.12130000000000001</v>
      </c>
      <c r="N294">
        <v>45.4</v>
      </c>
      <c r="O294" s="1">
        <v>3.3999999999999998E-3</v>
      </c>
      <c r="P294">
        <v>13175</v>
      </c>
      <c r="Q294" s="1">
        <v>0.99660000000000004</v>
      </c>
      <c r="R29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94" s="2">
        <f>Tabela_base[[#This Row],[Total Streams (in millions)]]-(Tabela_base[[#This Row],[Lead Streams (in millions)]]+Tabela_base[[#This Row],[Feature Streams (in millions)]])</f>
        <v>-3.3000000000010914</v>
      </c>
    </row>
    <row r="295" spans="1:19" x14ac:dyDescent="0.3">
      <c r="A295" s="20">
        <v>294</v>
      </c>
      <c r="B295" t="s">
        <v>382</v>
      </c>
      <c r="C295" t="s">
        <v>17</v>
      </c>
      <c r="D295" t="s">
        <v>103</v>
      </c>
      <c r="E295" t="s">
        <v>41</v>
      </c>
      <c r="F295" t="s">
        <v>58</v>
      </c>
      <c r="G295" t="s">
        <v>23</v>
      </c>
      <c r="H295">
        <v>2010</v>
      </c>
      <c r="I295">
        <v>34841</v>
      </c>
      <c r="J295">
        <v>19449.8</v>
      </c>
      <c r="K295" s="1">
        <v>0.55820000000000003</v>
      </c>
      <c r="L295">
        <v>15404.7</v>
      </c>
      <c r="M295" s="1">
        <v>0.44209999999999999</v>
      </c>
      <c r="N295">
        <v>11616.3</v>
      </c>
      <c r="O295" s="1">
        <v>0.33339999999999997</v>
      </c>
      <c r="P295">
        <v>23224.7</v>
      </c>
      <c r="Q295" s="1">
        <v>0.66659999999999997</v>
      </c>
      <c r="R29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95" s="2">
        <f>Tabela_base[[#This Row],[Total Streams (in millions)]]-(Tabela_base[[#This Row],[Lead Streams (in millions)]]+Tabela_base[[#This Row],[Feature Streams (in millions)]])</f>
        <v>-13.5</v>
      </c>
    </row>
    <row r="296" spans="1:19" x14ac:dyDescent="0.3">
      <c r="A296" s="20">
        <v>295</v>
      </c>
      <c r="B296" t="s">
        <v>383</v>
      </c>
      <c r="C296" t="s">
        <v>17</v>
      </c>
      <c r="D296" t="s">
        <v>18</v>
      </c>
      <c r="E296" t="s">
        <v>41</v>
      </c>
      <c r="F296" t="s">
        <v>42</v>
      </c>
      <c r="G296" t="s">
        <v>21</v>
      </c>
      <c r="H296">
        <v>2004</v>
      </c>
      <c r="I296">
        <v>8457.4</v>
      </c>
      <c r="J296">
        <v>369.6</v>
      </c>
      <c r="K296" s="1">
        <v>4.3700000000000003E-2</v>
      </c>
      <c r="L296">
        <v>8087.7</v>
      </c>
      <c r="M296" s="1">
        <v>0.95630000000000004</v>
      </c>
      <c r="N296">
        <v>1.3</v>
      </c>
      <c r="O296" s="1">
        <v>2.0000000000000001E-4</v>
      </c>
      <c r="P296">
        <v>8456.1</v>
      </c>
      <c r="Q296" s="1">
        <v>0.99980000000000002</v>
      </c>
      <c r="R29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96" s="2">
        <f>Tabela_base[[#This Row],[Total Streams (in millions)]]-(Tabela_base[[#This Row],[Lead Streams (in millions)]]+Tabela_base[[#This Row],[Feature Streams (in millions)]])</f>
        <v>0.1000000000003638</v>
      </c>
    </row>
    <row r="297" spans="1:19" x14ac:dyDescent="0.3">
      <c r="A297" s="20">
        <v>296</v>
      </c>
      <c r="B297" t="s">
        <v>384</v>
      </c>
      <c r="C297" t="s">
        <v>44</v>
      </c>
      <c r="D297" t="s">
        <v>57</v>
      </c>
      <c r="E297" t="s">
        <v>41</v>
      </c>
      <c r="F297" t="s">
        <v>29</v>
      </c>
      <c r="G297" t="s">
        <v>21</v>
      </c>
      <c r="H297">
        <v>1987</v>
      </c>
      <c r="I297">
        <v>9914.4</v>
      </c>
      <c r="J297">
        <v>9921.1</v>
      </c>
      <c r="K297" s="1">
        <v>1.0006999999999999</v>
      </c>
      <c r="L297">
        <v>6.1</v>
      </c>
      <c r="M297" s="1">
        <v>5.9999999999999995E-4</v>
      </c>
      <c r="N297">
        <v>7817.7</v>
      </c>
      <c r="O297" s="1">
        <v>0.78849999999999998</v>
      </c>
      <c r="P297">
        <v>2096.6999999999998</v>
      </c>
      <c r="Q297" s="1">
        <v>0.21149999999999999</v>
      </c>
      <c r="R29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297" s="2">
        <f>Tabela_base[[#This Row],[Total Streams (in millions)]]-(Tabela_base[[#This Row],[Lead Streams (in millions)]]+Tabela_base[[#This Row],[Feature Streams (in millions)]])</f>
        <v>-12.800000000001091</v>
      </c>
    </row>
    <row r="298" spans="1:19" x14ac:dyDescent="0.3">
      <c r="A298" s="20">
        <v>297</v>
      </c>
      <c r="B298" t="s">
        <v>385</v>
      </c>
      <c r="C298" t="s">
        <v>17</v>
      </c>
      <c r="D298" t="s">
        <v>103</v>
      </c>
      <c r="E298" t="s">
        <v>41</v>
      </c>
      <c r="F298" t="s">
        <v>58</v>
      </c>
      <c r="G298" t="s">
        <v>23</v>
      </c>
      <c r="H298">
        <v>2016</v>
      </c>
      <c r="I298">
        <v>18912.7</v>
      </c>
      <c r="J298">
        <v>8490.9</v>
      </c>
      <c r="K298" s="1">
        <v>0.44900000000000001</v>
      </c>
      <c r="L298">
        <v>10429.4</v>
      </c>
      <c r="M298" s="1">
        <v>0.5514</v>
      </c>
      <c r="N298">
        <v>5716.7</v>
      </c>
      <c r="O298" s="1">
        <v>0.30230000000000001</v>
      </c>
      <c r="P298">
        <v>13196</v>
      </c>
      <c r="Q298" s="1">
        <v>0.69769999999999999</v>
      </c>
      <c r="R29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98" s="2">
        <f>Tabela_base[[#This Row],[Total Streams (in millions)]]-(Tabela_base[[#This Row],[Lead Streams (in millions)]]+Tabela_base[[#This Row],[Feature Streams (in millions)]])</f>
        <v>-7.5999999999985448</v>
      </c>
    </row>
    <row r="299" spans="1:19" x14ac:dyDescent="0.3">
      <c r="A299" s="20">
        <v>298</v>
      </c>
      <c r="B299" t="s">
        <v>386</v>
      </c>
      <c r="C299" t="s">
        <v>49</v>
      </c>
      <c r="D299" t="s">
        <v>70</v>
      </c>
      <c r="E299" t="s">
        <v>71</v>
      </c>
      <c r="F299" t="s">
        <v>76</v>
      </c>
      <c r="G299" t="s">
        <v>23</v>
      </c>
      <c r="H299">
        <v>2011</v>
      </c>
      <c r="I299">
        <v>15528.2</v>
      </c>
      <c r="J299">
        <v>7743.7</v>
      </c>
      <c r="K299" s="1">
        <v>0.49869999999999998</v>
      </c>
      <c r="L299">
        <v>7783.6</v>
      </c>
      <c r="M299" s="1">
        <v>0.50129999999999997</v>
      </c>
      <c r="N299">
        <v>7736.5</v>
      </c>
      <c r="O299" s="1">
        <v>0.49819999999999998</v>
      </c>
      <c r="P299">
        <v>7791.7</v>
      </c>
      <c r="Q299" s="1">
        <v>0.50180000000000002</v>
      </c>
      <c r="R29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299" s="2">
        <f>Tabela_base[[#This Row],[Total Streams (in millions)]]-(Tabela_base[[#This Row],[Lead Streams (in millions)]]+Tabela_base[[#This Row],[Feature Streams (in millions)]])</f>
        <v>0.90000000000145519</v>
      </c>
    </row>
    <row r="300" spans="1:19" x14ac:dyDescent="0.3">
      <c r="A300" s="20">
        <v>299</v>
      </c>
      <c r="B300" t="s">
        <v>387</v>
      </c>
      <c r="C300" t="s">
        <v>17</v>
      </c>
      <c r="D300" t="s">
        <v>18</v>
      </c>
      <c r="E300" t="s">
        <v>41</v>
      </c>
      <c r="F300" t="s">
        <v>58</v>
      </c>
      <c r="G300" t="s">
        <v>23</v>
      </c>
      <c r="H300">
        <v>1988</v>
      </c>
      <c r="I300">
        <v>9914.5</v>
      </c>
      <c r="J300">
        <v>6239</v>
      </c>
      <c r="K300" s="1">
        <v>0.62929999999999997</v>
      </c>
      <c r="L300">
        <v>3689.5</v>
      </c>
      <c r="M300" s="1">
        <v>0.37209999999999999</v>
      </c>
      <c r="N300">
        <v>5931.4</v>
      </c>
      <c r="O300" s="1">
        <v>0.59830000000000005</v>
      </c>
      <c r="P300">
        <v>3983.1</v>
      </c>
      <c r="Q300" s="1">
        <v>0.4017</v>
      </c>
      <c r="R30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00" s="2">
        <f>Tabela_base[[#This Row],[Total Streams (in millions)]]-(Tabela_base[[#This Row],[Lead Streams (in millions)]]+Tabela_base[[#This Row],[Feature Streams (in millions)]])</f>
        <v>-14</v>
      </c>
    </row>
    <row r="301" spans="1:19" x14ac:dyDescent="0.3">
      <c r="A301" s="20">
        <v>300</v>
      </c>
      <c r="B301" t="s">
        <v>388</v>
      </c>
      <c r="C301" t="s">
        <v>49</v>
      </c>
      <c r="D301" t="s">
        <v>120</v>
      </c>
      <c r="E301" t="s">
        <v>41</v>
      </c>
      <c r="F301" t="s">
        <v>58</v>
      </c>
      <c r="G301" t="s">
        <v>23</v>
      </c>
      <c r="H301">
        <v>2019</v>
      </c>
      <c r="I301">
        <v>10476.9</v>
      </c>
      <c r="J301">
        <v>3977.8</v>
      </c>
      <c r="K301" s="1">
        <v>0.37969999999999998</v>
      </c>
      <c r="L301">
        <v>6499.1</v>
      </c>
      <c r="M301" s="1">
        <v>0.62029999999999996</v>
      </c>
      <c r="N301">
        <v>2597.3000000000002</v>
      </c>
      <c r="O301" s="1">
        <v>0.24790000000000001</v>
      </c>
      <c r="P301">
        <v>7879.6</v>
      </c>
      <c r="Q301" s="1">
        <v>0.75209999999999999</v>
      </c>
      <c r="R30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01" s="2">
        <f>Tabela_base[[#This Row],[Total Streams (in millions)]]-(Tabela_base[[#This Row],[Lead Streams (in millions)]]+Tabela_base[[#This Row],[Feature Streams (in millions)]])</f>
        <v>0</v>
      </c>
    </row>
    <row r="302" spans="1:19" x14ac:dyDescent="0.3">
      <c r="A302" s="20">
        <v>301</v>
      </c>
      <c r="B302" t="s">
        <v>389</v>
      </c>
      <c r="C302" t="s">
        <v>49</v>
      </c>
      <c r="D302" t="s">
        <v>18</v>
      </c>
      <c r="E302" t="s">
        <v>19</v>
      </c>
      <c r="F302" t="s">
        <v>46</v>
      </c>
      <c r="G302" t="s">
        <v>23</v>
      </c>
      <c r="H302">
        <v>1990</v>
      </c>
      <c r="I302">
        <v>13650.2</v>
      </c>
      <c r="J302">
        <v>12396.8</v>
      </c>
      <c r="K302" s="1">
        <v>0.90820000000000001</v>
      </c>
      <c r="L302">
        <v>1258.3</v>
      </c>
      <c r="M302" s="1">
        <v>9.2200000000000004E-2</v>
      </c>
      <c r="N302">
        <v>10348.700000000001</v>
      </c>
      <c r="O302" s="1">
        <v>0.7581</v>
      </c>
      <c r="P302">
        <v>3301.5</v>
      </c>
      <c r="Q302" s="1">
        <v>0.2419</v>
      </c>
      <c r="R30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02" s="2">
        <f>Tabela_base[[#This Row],[Total Streams (in millions)]]-(Tabela_base[[#This Row],[Lead Streams (in millions)]]+Tabela_base[[#This Row],[Feature Streams (in millions)]])</f>
        <v>-4.8999999999978172</v>
      </c>
    </row>
    <row r="303" spans="1:19" x14ac:dyDescent="0.3">
      <c r="A303" s="20">
        <v>302</v>
      </c>
      <c r="B303" t="s">
        <v>390</v>
      </c>
      <c r="C303" t="s">
        <v>17</v>
      </c>
      <c r="D303" t="s">
        <v>25</v>
      </c>
      <c r="E303" t="s">
        <v>19</v>
      </c>
      <c r="F303" t="s">
        <v>46</v>
      </c>
      <c r="G303" t="s">
        <v>23</v>
      </c>
      <c r="H303">
        <v>2003</v>
      </c>
      <c r="I303">
        <v>8366.2999999999993</v>
      </c>
      <c r="J303">
        <v>6159.1</v>
      </c>
      <c r="K303" s="1">
        <v>0.73619999999999997</v>
      </c>
      <c r="L303">
        <v>2210.1</v>
      </c>
      <c r="M303" s="1">
        <v>0.26419999999999999</v>
      </c>
      <c r="N303">
        <v>10.3</v>
      </c>
      <c r="O303" s="1">
        <v>1.1999999999999999E-3</v>
      </c>
      <c r="P303">
        <v>8356</v>
      </c>
      <c r="Q303" s="1">
        <v>0.99880000000000002</v>
      </c>
      <c r="R30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03" s="2">
        <f>Tabela_base[[#This Row],[Total Streams (in millions)]]-(Tabela_base[[#This Row],[Lead Streams (in millions)]]+Tabela_base[[#This Row],[Feature Streams (in millions)]])</f>
        <v>-2.9000000000014552</v>
      </c>
    </row>
    <row r="304" spans="1:19" x14ac:dyDescent="0.3">
      <c r="A304" s="20">
        <v>303</v>
      </c>
      <c r="B304" t="s">
        <v>391</v>
      </c>
      <c r="C304" t="s">
        <v>44</v>
      </c>
      <c r="D304" t="s">
        <v>18</v>
      </c>
      <c r="E304" t="s">
        <v>19</v>
      </c>
      <c r="F304" t="s">
        <v>46</v>
      </c>
      <c r="G304" t="s">
        <v>21</v>
      </c>
      <c r="H304">
        <v>2002</v>
      </c>
      <c r="I304">
        <v>35794.1</v>
      </c>
      <c r="J304">
        <v>35585.800000000003</v>
      </c>
      <c r="K304" s="1">
        <v>0.99419999999999997</v>
      </c>
      <c r="L304">
        <v>222.6</v>
      </c>
      <c r="M304" s="1">
        <v>6.1999999999999998E-3</v>
      </c>
      <c r="N304">
        <v>23312.5</v>
      </c>
      <c r="O304" s="1">
        <v>0.65129999999999999</v>
      </c>
      <c r="P304">
        <v>12481.6</v>
      </c>
      <c r="Q304" s="1">
        <v>0.34870000000000001</v>
      </c>
      <c r="R30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04" s="2">
        <f>Tabela_base[[#This Row],[Total Streams (in millions)]]-(Tabela_base[[#This Row],[Lead Streams (in millions)]]+Tabela_base[[#This Row],[Feature Streams (in millions)]])</f>
        <v>-14.30000000000291</v>
      </c>
    </row>
    <row r="305" spans="1:19" x14ac:dyDescent="0.3">
      <c r="A305" s="20">
        <v>304</v>
      </c>
      <c r="B305" t="s">
        <v>392</v>
      </c>
      <c r="C305" t="s">
        <v>17</v>
      </c>
      <c r="D305" t="s">
        <v>18</v>
      </c>
      <c r="E305" t="s">
        <v>19</v>
      </c>
      <c r="F305" t="s">
        <v>55</v>
      </c>
      <c r="G305" t="s">
        <v>23</v>
      </c>
      <c r="H305">
        <v>2015</v>
      </c>
      <c r="I305">
        <v>23705.9</v>
      </c>
      <c r="J305">
        <v>17589.400000000001</v>
      </c>
      <c r="K305" s="1">
        <v>0.74199999999999999</v>
      </c>
      <c r="L305">
        <v>6122.5</v>
      </c>
      <c r="M305" s="1">
        <v>0.25829999999999997</v>
      </c>
      <c r="N305">
        <v>1704.1</v>
      </c>
      <c r="O305" s="1">
        <v>7.1900000000000006E-2</v>
      </c>
      <c r="P305">
        <v>22001.8</v>
      </c>
      <c r="Q305" s="1">
        <v>0.92810000000000004</v>
      </c>
      <c r="R30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05" s="2">
        <f>Tabela_base[[#This Row],[Total Streams (in millions)]]-(Tabela_base[[#This Row],[Lead Streams (in millions)]]+Tabela_base[[#This Row],[Feature Streams (in millions)]])</f>
        <v>-6</v>
      </c>
    </row>
    <row r="306" spans="1:19" x14ac:dyDescent="0.3">
      <c r="A306" s="20">
        <v>305</v>
      </c>
      <c r="B306" t="s">
        <v>393</v>
      </c>
      <c r="C306" t="s">
        <v>17</v>
      </c>
      <c r="D306" t="s">
        <v>394</v>
      </c>
      <c r="E306" t="s">
        <v>19</v>
      </c>
      <c r="F306" t="s">
        <v>55</v>
      </c>
      <c r="G306" t="s">
        <v>23</v>
      </c>
      <c r="H306">
        <v>2012</v>
      </c>
      <c r="I306">
        <v>13468.7</v>
      </c>
      <c r="J306">
        <v>12222.3</v>
      </c>
      <c r="K306" s="1">
        <v>0.90749999999999997</v>
      </c>
      <c r="L306">
        <v>1249.7</v>
      </c>
      <c r="M306" s="1">
        <v>9.2799999999999994E-2</v>
      </c>
      <c r="N306">
        <v>1202.8</v>
      </c>
      <c r="O306" s="1">
        <v>8.9300000000000004E-2</v>
      </c>
      <c r="P306">
        <v>12265.9</v>
      </c>
      <c r="Q306" s="1">
        <v>0.91069999999999995</v>
      </c>
      <c r="R30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06" s="2">
        <f>Tabela_base[[#This Row],[Total Streams (in millions)]]-(Tabela_base[[#This Row],[Lead Streams (in millions)]]+Tabela_base[[#This Row],[Feature Streams (in millions)]])</f>
        <v>-3.2999999999992724</v>
      </c>
    </row>
    <row r="307" spans="1:19" x14ac:dyDescent="0.3">
      <c r="A307" s="20">
        <v>306</v>
      </c>
      <c r="B307" t="s">
        <v>395</v>
      </c>
      <c r="C307" t="s">
        <v>17</v>
      </c>
      <c r="D307" t="s">
        <v>70</v>
      </c>
      <c r="E307" t="s">
        <v>71</v>
      </c>
      <c r="F307" t="s">
        <v>76</v>
      </c>
      <c r="G307" t="s">
        <v>21</v>
      </c>
      <c r="H307">
        <v>2010</v>
      </c>
      <c r="I307">
        <v>10122.5</v>
      </c>
      <c r="J307">
        <v>8138.6</v>
      </c>
      <c r="K307" s="1">
        <v>0.80400000000000005</v>
      </c>
      <c r="L307">
        <v>1988.4</v>
      </c>
      <c r="M307" s="1">
        <v>0.19639999999999999</v>
      </c>
      <c r="N307">
        <v>5614.2</v>
      </c>
      <c r="O307" s="1">
        <v>0.55459999999999998</v>
      </c>
      <c r="P307">
        <v>4508.3</v>
      </c>
      <c r="Q307" s="1">
        <v>0.44540000000000002</v>
      </c>
      <c r="R30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07" s="2">
        <f>Tabela_base[[#This Row],[Total Streams (in millions)]]-(Tabela_base[[#This Row],[Lead Streams (in millions)]]+Tabela_base[[#This Row],[Feature Streams (in millions)]])</f>
        <v>-4.5</v>
      </c>
    </row>
    <row r="308" spans="1:19" x14ac:dyDescent="0.3">
      <c r="A308" s="20">
        <v>307</v>
      </c>
      <c r="B308" t="s">
        <v>396</v>
      </c>
      <c r="C308" t="s">
        <v>17</v>
      </c>
      <c r="D308" t="s">
        <v>70</v>
      </c>
      <c r="E308" t="s">
        <v>71</v>
      </c>
      <c r="F308" t="s">
        <v>58</v>
      </c>
      <c r="G308" t="s">
        <v>23</v>
      </c>
      <c r="H308">
        <v>2015</v>
      </c>
      <c r="I308">
        <v>7387.8</v>
      </c>
      <c r="J308">
        <v>2807.5</v>
      </c>
      <c r="K308" s="1">
        <v>0.38</v>
      </c>
      <c r="L308">
        <v>4581</v>
      </c>
      <c r="M308" s="1">
        <v>0.62009999999999998</v>
      </c>
      <c r="N308">
        <v>359.7</v>
      </c>
      <c r="O308" s="1">
        <v>4.87E-2</v>
      </c>
      <c r="P308">
        <v>7028.1</v>
      </c>
      <c r="Q308" s="1">
        <v>0.95130000000000003</v>
      </c>
      <c r="R30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08" s="2">
        <f>Tabela_base[[#This Row],[Total Streams (in millions)]]-(Tabela_base[[#This Row],[Lead Streams (in millions)]]+Tabela_base[[#This Row],[Feature Streams (in millions)]])</f>
        <v>-0.6999999999998181</v>
      </c>
    </row>
    <row r="309" spans="1:19" x14ac:dyDescent="0.3">
      <c r="A309" s="20">
        <v>308</v>
      </c>
      <c r="B309" t="s">
        <v>397</v>
      </c>
      <c r="C309" t="s">
        <v>17</v>
      </c>
      <c r="D309" t="s">
        <v>70</v>
      </c>
      <c r="E309" t="s">
        <v>71</v>
      </c>
      <c r="F309" t="s">
        <v>20</v>
      </c>
      <c r="G309" t="s">
        <v>23</v>
      </c>
      <c r="H309">
        <v>2019</v>
      </c>
      <c r="I309">
        <v>11715.1</v>
      </c>
      <c r="J309">
        <v>1404.1</v>
      </c>
      <c r="K309" s="1">
        <v>0.11990000000000001</v>
      </c>
      <c r="L309">
        <v>10305.200000000001</v>
      </c>
      <c r="M309" s="1">
        <v>0.87970000000000004</v>
      </c>
      <c r="N309">
        <v>7.7</v>
      </c>
      <c r="O309" s="1">
        <v>6.9999999999999999E-4</v>
      </c>
      <c r="P309">
        <v>11707.4</v>
      </c>
      <c r="Q309" s="1">
        <v>0.99929999999999997</v>
      </c>
      <c r="R30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09" s="2">
        <f>Tabela_base[[#This Row],[Total Streams (in millions)]]-(Tabela_base[[#This Row],[Lead Streams (in millions)]]+Tabela_base[[#This Row],[Feature Streams (in millions)]])</f>
        <v>5.7999999999992724</v>
      </c>
    </row>
    <row r="310" spans="1:19" x14ac:dyDescent="0.3">
      <c r="A310" s="20">
        <v>309</v>
      </c>
      <c r="B310" t="s">
        <v>398</v>
      </c>
      <c r="C310" t="s">
        <v>17</v>
      </c>
      <c r="D310" t="s">
        <v>18</v>
      </c>
      <c r="E310" t="s">
        <v>19</v>
      </c>
      <c r="F310" t="s">
        <v>20</v>
      </c>
      <c r="G310" t="s">
        <v>23</v>
      </c>
      <c r="H310">
        <v>2003</v>
      </c>
      <c r="I310">
        <v>10231.200000000001</v>
      </c>
      <c r="J310">
        <v>7551.1</v>
      </c>
      <c r="K310" s="1">
        <v>0.73799999999999999</v>
      </c>
      <c r="L310">
        <v>2685</v>
      </c>
      <c r="M310" s="1">
        <v>0.26240000000000002</v>
      </c>
      <c r="N310">
        <v>2118.4</v>
      </c>
      <c r="O310" s="1">
        <v>0.20710000000000001</v>
      </c>
      <c r="P310">
        <v>8112.8</v>
      </c>
      <c r="Q310" s="1">
        <v>0.79290000000000005</v>
      </c>
      <c r="R31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10" s="2">
        <f>Tabela_base[[#This Row],[Total Streams (in millions)]]-(Tabela_base[[#This Row],[Lead Streams (in millions)]]+Tabela_base[[#This Row],[Feature Streams (in millions)]])</f>
        <v>-4.8999999999996362</v>
      </c>
    </row>
    <row r="311" spans="1:19" x14ac:dyDescent="0.3">
      <c r="A311" s="20">
        <v>310</v>
      </c>
      <c r="B311" t="s">
        <v>399</v>
      </c>
      <c r="C311" t="s">
        <v>49</v>
      </c>
      <c r="D311" t="s">
        <v>18</v>
      </c>
      <c r="E311" t="s">
        <v>19</v>
      </c>
      <c r="F311" t="s">
        <v>20</v>
      </c>
      <c r="G311" t="s">
        <v>23</v>
      </c>
      <c r="H311">
        <v>2016</v>
      </c>
      <c r="I311">
        <v>13532</v>
      </c>
      <c r="J311">
        <v>7853.3</v>
      </c>
      <c r="K311" s="1">
        <v>0.58040000000000003</v>
      </c>
      <c r="L311">
        <v>5683.7</v>
      </c>
      <c r="M311" s="1">
        <v>0.42</v>
      </c>
      <c r="N311">
        <v>4660.7</v>
      </c>
      <c r="O311" s="1">
        <v>0.34439999999999998</v>
      </c>
      <c r="P311">
        <v>8871.2999999999993</v>
      </c>
      <c r="Q311" s="1">
        <v>0.65559999999999996</v>
      </c>
      <c r="R31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11" s="2">
        <f>Tabela_base[[#This Row],[Total Streams (in millions)]]-(Tabela_base[[#This Row],[Lead Streams (in millions)]]+Tabela_base[[#This Row],[Feature Streams (in millions)]])</f>
        <v>-5</v>
      </c>
    </row>
    <row r="312" spans="1:19" x14ac:dyDescent="0.3">
      <c r="A312" s="20">
        <v>311</v>
      </c>
      <c r="B312" t="s">
        <v>400</v>
      </c>
      <c r="C312" t="s">
        <v>49</v>
      </c>
      <c r="D312" t="s">
        <v>18</v>
      </c>
      <c r="E312" t="s">
        <v>19</v>
      </c>
      <c r="F312" t="s">
        <v>46</v>
      </c>
      <c r="G312" t="s">
        <v>23</v>
      </c>
      <c r="H312">
        <v>2009</v>
      </c>
      <c r="I312">
        <v>11817.1</v>
      </c>
      <c r="J312">
        <v>9731.6</v>
      </c>
      <c r="K312" s="1">
        <v>0.82350000000000001</v>
      </c>
      <c r="L312">
        <v>2088</v>
      </c>
      <c r="M312" s="1">
        <v>0.1767</v>
      </c>
      <c r="N312">
        <v>7684.3</v>
      </c>
      <c r="O312" s="1">
        <v>0.65029999999999999</v>
      </c>
      <c r="P312">
        <v>4132.8</v>
      </c>
      <c r="Q312" s="1">
        <v>0.34970000000000001</v>
      </c>
      <c r="R31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12" s="2">
        <f>Tabela_base[[#This Row],[Total Streams (in millions)]]-(Tabela_base[[#This Row],[Lead Streams (in millions)]]+Tabela_base[[#This Row],[Feature Streams (in millions)]])</f>
        <v>-2.5</v>
      </c>
    </row>
    <row r="313" spans="1:19" x14ac:dyDescent="0.3">
      <c r="A313" s="20">
        <v>312</v>
      </c>
      <c r="B313" t="s">
        <v>401</v>
      </c>
      <c r="C313" t="s">
        <v>49</v>
      </c>
      <c r="D313" t="s">
        <v>18</v>
      </c>
      <c r="E313" t="s">
        <v>19</v>
      </c>
      <c r="F313" t="s">
        <v>46</v>
      </c>
      <c r="G313" t="s">
        <v>23</v>
      </c>
      <c r="H313">
        <v>2014</v>
      </c>
      <c r="I313">
        <v>11632.9</v>
      </c>
      <c r="J313">
        <v>11637.4</v>
      </c>
      <c r="K313" s="1">
        <v>1.0004</v>
      </c>
      <c r="L313">
        <v>0</v>
      </c>
      <c r="M313" s="1">
        <v>0</v>
      </c>
      <c r="N313">
        <v>11489.7</v>
      </c>
      <c r="O313" s="1">
        <v>0.98770000000000002</v>
      </c>
      <c r="P313">
        <v>143.19999999999999</v>
      </c>
      <c r="Q313" s="1">
        <v>1.23E-2</v>
      </c>
      <c r="R31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313" s="2">
        <f>Tabela_base[[#This Row],[Total Streams (in millions)]]-(Tabela_base[[#This Row],[Lead Streams (in millions)]]+Tabela_base[[#This Row],[Feature Streams (in millions)]])</f>
        <v>-4.5</v>
      </c>
    </row>
    <row r="314" spans="1:19" x14ac:dyDescent="0.3">
      <c r="A314" s="20">
        <v>313</v>
      </c>
      <c r="B314" t="s">
        <v>402</v>
      </c>
      <c r="C314" t="s">
        <v>17</v>
      </c>
      <c r="D314" t="s">
        <v>18</v>
      </c>
      <c r="E314" t="s">
        <v>19</v>
      </c>
      <c r="F314" t="s">
        <v>29</v>
      </c>
      <c r="G314" t="s">
        <v>21</v>
      </c>
      <c r="H314">
        <v>1983</v>
      </c>
      <c r="I314">
        <v>18627</v>
      </c>
      <c r="J314">
        <v>18557</v>
      </c>
      <c r="K314" s="1">
        <v>0.99619999999999997</v>
      </c>
      <c r="L314">
        <v>77.900000000000006</v>
      </c>
      <c r="M314" s="1">
        <v>4.1999999999999997E-3</v>
      </c>
      <c r="N314">
        <v>18283.099999999999</v>
      </c>
      <c r="O314" s="1">
        <v>0.98150000000000004</v>
      </c>
      <c r="P314">
        <v>343.9</v>
      </c>
      <c r="Q314" s="1">
        <v>1.8499999999999999E-2</v>
      </c>
      <c r="R31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14" s="2">
        <f>Tabela_base[[#This Row],[Total Streams (in millions)]]-(Tabela_base[[#This Row],[Lead Streams (in millions)]]+Tabela_base[[#This Row],[Feature Streams (in millions)]])</f>
        <v>-7.9000000000014552</v>
      </c>
    </row>
    <row r="315" spans="1:19" x14ac:dyDescent="0.3">
      <c r="A315" s="20">
        <v>314</v>
      </c>
      <c r="B315" t="s">
        <v>403</v>
      </c>
      <c r="C315" t="s">
        <v>17</v>
      </c>
      <c r="D315" t="s">
        <v>18</v>
      </c>
      <c r="E315" t="s">
        <v>19</v>
      </c>
      <c r="F315" t="s">
        <v>20</v>
      </c>
      <c r="G315" t="s">
        <v>23</v>
      </c>
      <c r="H315">
        <v>2013</v>
      </c>
      <c r="I315">
        <v>28848.7</v>
      </c>
      <c r="J315">
        <v>13945.2</v>
      </c>
      <c r="K315" s="1">
        <v>0.4834</v>
      </c>
      <c r="L315">
        <v>14911.9</v>
      </c>
      <c r="M315" s="1">
        <v>0.51690000000000003</v>
      </c>
      <c r="N315">
        <v>119.7</v>
      </c>
      <c r="O315" s="1">
        <v>4.1000000000000003E-3</v>
      </c>
      <c r="P315">
        <v>28729</v>
      </c>
      <c r="Q315" s="1">
        <v>0.99590000000000001</v>
      </c>
      <c r="R31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15" s="2">
        <f>Tabela_base[[#This Row],[Total Streams (in millions)]]-(Tabela_base[[#This Row],[Lead Streams (in millions)]]+Tabela_base[[#This Row],[Feature Streams (in millions)]])</f>
        <v>-8.3999999999978172</v>
      </c>
    </row>
    <row r="316" spans="1:19" x14ac:dyDescent="0.3">
      <c r="A316" s="20">
        <v>315</v>
      </c>
      <c r="B316" t="s">
        <v>404</v>
      </c>
      <c r="C316" t="s">
        <v>17</v>
      </c>
      <c r="D316" t="s">
        <v>18</v>
      </c>
      <c r="E316" t="s">
        <v>19</v>
      </c>
      <c r="F316" t="s">
        <v>20</v>
      </c>
      <c r="G316" t="s">
        <v>23</v>
      </c>
      <c r="H316">
        <v>2006</v>
      </c>
      <c r="I316">
        <v>13398.3</v>
      </c>
      <c r="J316">
        <v>13409.8</v>
      </c>
      <c r="K316" s="1">
        <v>1.0008999999999999</v>
      </c>
      <c r="L316">
        <v>0</v>
      </c>
      <c r="M316" s="1">
        <v>0</v>
      </c>
      <c r="N316">
        <v>4665.5</v>
      </c>
      <c r="O316" s="1">
        <v>0.34820000000000001</v>
      </c>
      <c r="P316">
        <v>8732.7999999999993</v>
      </c>
      <c r="Q316" s="1">
        <v>0.65180000000000005</v>
      </c>
      <c r="R31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316" s="2">
        <f>Tabela_base[[#This Row],[Total Streams (in millions)]]-(Tabela_base[[#This Row],[Lead Streams (in millions)]]+Tabela_base[[#This Row],[Feature Streams (in millions)]])</f>
        <v>-11.5</v>
      </c>
    </row>
    <row r="317" spans="1:19" x14ac:dyDescent="0.3">
      <c r="A317" s="20">
        <v>316</v>
      </c>
      <c r="B317" t="s">
        <v>405</v>
      </c>
      <c r="C317" t="s">
        <v>17</v>
      </c>
      <c r="D317" t="s">
        <v>62</v>
      </c>
      <c r="E317" t="s">
        <v>19</v>
      </c>
      <c r="F317" t="s">
        <v>46</v>
      </c>
      <c r="G317" t="s">
        <v>23</v>
      </c>
      <c r="H317">
        <v>2001</v>
      </c>
      <c r="I317">
        <v>12647.5</v>
      </c>
      <c r="J317">
        <v>11934</v>
      </c>
      <c r="K317" s="1">
        <v>0.94359999999999999</v>
      </c>
      <c r="L317">
        <v>715.4</v>
      </c>
      <c r="M317" s="1">
        <v>5.6599999999999998E-2</v>
      </c>
      <c r="N317">
        <v>10362.700000000001</v>
      </c>
      <c r="O317" s="1">
        <v>0.81930000000000003</v>
      </c>
      <c r="P317">
        <v>2284.8000000000002</v>
      </c>
      <c r="Q317" s="1">
        <v>0.1807</v>
      </c>
      <c r="R31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17" s="2">
        <f>Tabela_base[[#This Row],[Total Streams (in millions)]]-(Tabela_base[[#This Row],[Lead Streams (in millions)]]+Tabela_base[[#This Row],[Feature Streams (in millions)]])</f>
        <v>-1.8999999999996362</v>
      </c>
    </row>
    <row r="318" spans="1:19" x14ac:dyDescent="0.3">
      <c r="A318" s="20">
        <v>317</v>
      </c>
      <c r="B318" t="s">
        <v>406</v>
      </c>
      <c r="C318" t="s">
        <v>17</v>
      </c>
      <c r="D318" t="s">
        <v>18</v>
      </c>
      <c r="E318" t="s">
        <v>19</v>
      </c>
      <c r="F318" t="s">
        <v>46</v>
      </c>
      <c r="G318" t="s">
        <v>23</v>
      </c>
      <c r="H318">
        <v>1964</v>
      </c>
      <c r="I318">
        <v>25264.400000000001</v>
      </c>
      <c r="J318">
        <v>24355.5</v>
      </c>
      <c r="K318" s="1">
        <v>0.96399999999999997</v>
      </c>
      <c r="L318">
        <v>908.9</v>
      </c>
      <c r="M318" s="1">
        <v>3.5999999999999997E-2</v>
      </c>
      <c r="N318">
        <v>22915.3</v>
      </c>
      <c r="O318" s="1">
        <v>0.90700000000000003</v>
      </c>
      <c r="P318">
        <v>2349.1</v>
      </c>
      <c r="Q318" s="1">
        <v>9.2999999999999999E-2</v>
      </c>
      <c r="R31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18" s="2">
        <f>Tabela_base[[#This Row],[Total Streams (in millions)]]-(Tabela_base[[#This Row],[Lead Streams (in millions)]]+Tabela_base[[#This Row],[Feature Streams (in millions)]])</f>
        <v>0</v>
      </c>
    </row>
    <row r="319" spans="1:19" x14ac:dyDescent="0.3">
      <c r="A319" s="20">
        <v>318</v>
      </c>
      <c r="B319" t="s">
        <v>407</v>
      </c>
      <c r="C319" t="s">
        <v>17</v>
      </c>
      <c r="D319" t="s">
        <v>18</v>
      </c>
      <c r="E319" t="s">
        <v>19</v>
      </c>
      <c r="F319" t="s">
        <v>20</v>
      </c>
      <c r="G319" t="s">
        <v>21</v>
      </c>
      <c r="H319">
        <v>2013</v>
      </c>
      <c r="I319">
        <v>15562.1</v>
      </c>
      <c r="J319">
        <v>13694</v>
      </c>
      <c r="K319" s="1">
        <v>0.88</v>
      </c>
      <c r="L319">
        <v>1874.1</v>
      </c>
      <c r="M319" s="1">
        <v>0.12039999999999999</v>
      </c>
      <c r="N319">
        <v>4814.8999999999996</v>
      </c>
      <c r="O319" s="1">
        <v>0.30940000000000001</v>
      </c>
      <c r="P319">
        <v>10747.2</v>
      </c>
      <c r="Q319" s="1">
        <v>0.69059999999999999</v>
      </c>
      <c r="R31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19" s="2">
        <f>Tabela_base[[#This Row],[Total Streams (in millions)]]-(Tabela_base[[#This Row],[Lead Streams (in millions)]]+Tabela_base[[#This Row],[Feature Streams (in millions)]])</f>
        <v>-6</v>
      </c>
    </row>
    <row r="320" spans="1:19" x14ac:dyDescent="0.3">
      <c r="A320" s="20">
        <v>319</v>
      </c>
      <c r="B320" t="s">
        <v>408</v>
      </c>
      <c r="C320" t="s">
        <v>17</v>
      </c>
      <c r="D320" t="s">
        <v>18</v>
      </c>
      <c r="E320" t="s">
        <v>19</v>
      </c>
      <c r="F320" t="s">
        <v>33</v>
      </c>
      <c r="G320" t="s">
        <v>23</v>
      </c>
      <c r="H320">
        <v>2010</v>
      </c>
      <c r="I320">
        <v>13065.7</v>
      </c>
      <c r="J320">
        <v>7612.4</v>
      </c>
      <c r="K320" s="1">
        <v>0.58260000000000001</v>
      </c>
      <c r="L320">
        <v>5460.1</v>
      </c>
      <c r="M320" s="1">
        <v>0.41789999999999999</v>
      </c>
      <c r="N320">
        <v>5541.7</v>
      </c>
      <c r="O320" s="1">
        <v>0.42409999999999998</v>
      </c>
      <c r="P320">
        <v>7524</v>
      </c>
      <c r="Q320" s="1">
        <v>0.57589999999999997</v>
      </c>
      <c r="R32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20" s="2">
        <f>Tabela_base[[#This Row],[Total Streams (in millions)]]-(Tabela_base[[#This Row],[Lead Streams (in millions)]]+Tabela_base[[#This Row],[Feature Streams (in millions)]])</f>
        <v>-6.7999999999992724</v>
      </c>
    </row>
    <row r="321" spans="1:19" x14ac:dyDescent="0.3">
      <c r="A321" s="20">
        <v>320</v>
      </c>
      <c r="B321" t="s">
        <v>409</v>
      </c>
      <c r="C321" t="s">
        <v>49</v>
      </c>
      <c r="D321" t="s">
        <v>18</v>
      </c>
      <c r="E321" t="s">
        <v>19</v>
      </c>
      <c r="F321" t="s">
        <v>46</v>
      </c>
      <c r="G321" t="s">
        <v>23</v>
      </c>
      <c r="H321">
        <v>2006</v>
      </c>
      <c r="I321">
        <v>23907.599999999999</v>
      </c>
      <c r="J321">
        <v>20739</v>
      </c>
      <c r="K321" s="1">
        <v>0.86750000000000005</v>
      </c>
      <c r="L321">
        <v>3175.7</v>
      </c>
      <c r="M321" s="1">
        <v>0.1328</v>
      </c>
      <c r="N321">
        <v>18453.900000000001</v>
      </c>
      <c r="O321" s="1">
        <v>0.77190000000000003</v>
      </c>
      <c r="P321">
        <v>5453.7</v>
      </c>
      <c r="Q321" s="1">
        <v>0.2281</v>
      </c>
      <c r="R32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21" s="2">
        <f>Tabela_base[[#This Row],[Total Streams (in millions)]]-(Tabela_base[[#This Row],[Lead Streams (in millions)]]+Tabela_base[[#This Row],[Feature Streams (in millions)]])</f>
        <v>-7.1000000000021828</v>
      </c>
    </row>
    <row r="322" spans="1:19" x14ac:dyDescent="0.3">
      <c r="A322" s="20">
        <v>321</v>
      </c>
      <c r="B322" t="s">
        <v>410</v>
      </c>
      <c r="C322" t="s">
        <v>17</v>
      </c>
      <c r="D322" t="s">
        <v>120</v>
      </c>
      <c r="E322" t="s">
        <v>41</v>
      </c>
      <c r="F322" t="s">
        <v>20</v>
      </c>
      <c r="G322" t="s">
        <v>23</v>
      </c>
      <c r="H322">
        <v>2021</v>
      </c>
      <c r="I322">
        <v>8309.1</v>
      </c>
      <c r="J322">
        <v>5592</v>
      </c>
      <c r="K322" s="1">
        <v>0.67300000000000004</v>
      </c>
      <c r="L322">
        <v>2724.4</v>
      </c>
      <c r="M322" s="1">
        <v>0.32790000000000002</v>
      </c>
      <c r="N322">
        <v>3545.8</v>
      </c>
      <c r="O322" s="1">
        <v>0.42670000000000002</v>
      </c>
      <c r="P322">
        <v>4763.3</v>
      </c>
      <c r="Q322" s="1">
        <v>0.57330000000000003</v>
      </c>
      <c r="R32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22" s="2">
        <f>Tabela_base[[#This Row],[Total Streams (in millions)]]-(Tabela_base[[#This Row],[Lead Streams (in millions)]]+Tabela_base[[#This Row],[Feature Streams (in millions)]])</f>
        <v>-7.2999999999992724</v>
      </c>
    </row>
    <row r="323" spans="1:19" x14ac:dyDescent="0.3">
      <c r="A323" s="20">
        <v>322</v>
      </c>
      <c r="B323" t="s">
        <v>411</v>
      </c>
      <c r="C323" t="s">
        <v>49</v>
      </c>
      <c r="D323" t="s">
        <v>294</v>
      </c>
      <c r="E323" t="s">
        <v>19</v>
      </c>
      <c r="F323" t="s">
        <v>101</v>
      </c>
      <c r="G323" t="s">
        <v>23</v>
      </c>
      <c r="H323">
        <v>2012</v>
      </c>
      <c r="I323">
        <v>10939.4</v>
      </c>
      <c r="J323">
        <v>9358.7999999999993</v>
      </c>
      <c r="K323" s="1">
        <v>0.85550000000000004</v>
      </c>
      <c r="L323">
        <v>1614.9</v>
      </c>
      <c r="M323" s="1">
        <v>0.14760000000000001</v>
      </c>
      <c r="N323">
        <v>10795.1</v>
      </c>
      <c r="O323" s="1">
        <v>0.98680000000000001</v>
      </c>
      <c r="P323">
        <v>144.30000000000001</v>
      </c>
      <c r="Q323" s="1">
        <v>1.32E-2</v>
      </c>
      <c r="R32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23" s="2">
        <f>Tabela_base[[#This Row],[Total Streams (in millions)]]-(Tabela_base[[#This Row],[Lead Streams (in millions)]]+Tabela_base[[#This Row],[Feature Streams (in millions)]])</f>
        <v>-34.299999999999272</v>
      </c>
    </row>
    <row r="324" spans="1:19" x14ac:dyDescent="0.3">
      <c r="A324" s="20">
        <v>323</v>
      </c>
      <c r="B324" t="s">
        <v>412</v>
      </c>
      <c r="C324" t="s">
        <v>17</v>
      </c>
      <c r="D324" t="s">
        <v>18</v>
      </c>
      <c r="E324" t="s">
        <v>19</v>
      </c>
      <c r="F324" t="s">
        <v>20</v>
      </c>
      <c r="G324" t="s">
        <v>23</v>
      </c>
      <c r="H324">
        <v>2012</v>
      </c>
      <c r="I324">
        <v>7252.1</v>
      </c>
      <c r="J324">
        <v>4583.7</v>
      </c>
      <c r="K324" s="1">
        <v>0.6321</v>
      </c>
      <c r="L324">
        <v>2668.4</v>
      </c>
      <c r="M324" s="1">
        <v>0.3679</v>
      </c>
      <c r="N324">
        <v>2499</v>
      </c>
      <c r="O324" s="1">
        <v>0.34460000000000002</v>
      </c>
      <c r="P324">
        <v>4753.1000000000004</v>
      </c>
      <c r="Q324" s="1">
        <v>0.65539999999999998</v>
      </c>
      <c r="R32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24" s="2">
        <f>Tabela_base[[#This Row],[Total Streams (in millions)]]-(Tabela_base[[#This Row],[Lead Streams (in millions)]]+Tabela_base[[#This Row],[Feature Streams (in millions)]])</f>
        <v>0</v>
      </c>
    </row>
    <row r="325" spans="1:19" x14ac:dyDescent="0.3">
      <c r="A325" s="20">
        <v>324</v>
      </c>
      <c r="B325" t="s">
        <v>413</v>
      </c>
      <c r="C325" t="s">
        <v>17</v>
      </c>
      <c r="D325" t="s">
        <v>18</v>
      </c>
      <c r="E325" t="s">
        <v>41</v>
      </c>
      <c r="F325" t="s">
        <v>42</v>
      </c>
      <c r="G325" t="s">
        <v>23</v>
      </c>
      <c r="H325">
        <v>2017</v>
      </c>
      <c r="I325">
        <v>13291</v>
      </c>
      <c r="J325">
        <v>10113.700000000001</v>
      </c>
      <c r="K325" s="1">
        <v>0.76090000000000002</v>
      </c>
      <c r="L325">
        <v>3183.3</v>
      </c>
      <c r="M325" s="1">
        <v>0.23949999999999999</v>
      </c>
      <c r="N325">
        <v>4068.1</v>
      </c>
      <c r="O325" s="1">
        <v>0.30609999999999998</v>
      </c>
      <c r="P325">
        <v>9222.9</v>
      </c>
      <c r="Q325" s="1">
        <v>0.69389999999999996</v>
      </c>
      <c r="R32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25" s="2">
        <f>Tabela_base[[#This Row],[Total Streams (in millions)]]-(Tabela_base[[#This Row],[Lead Streams (in millions)]]+Tabela_base[[#This Row],[Feature Streams (in millions)]])</f>
        <v>-6</v>
      </c>
    </row>
    <row r="326" spans="1:19" x14ac:dyDescent="0.3">
      <c r="A326" s="20">
        <v>325</v>
      </c>
      <c r="B326" t="s">
        <v>414</v>
      </c>
      <c r="C326" t="s">
        <v>17</v>
      </c>
      <c r="D326" t="s">
        <v>60</v>
      </c>
      <c r="E326" t="s">
        <v>41</v>
      </c>
      <c r="F326" t="s">
        <v>20</v>
      </c>
      <c r="G326" t="s">
        <v>23</v>
      </c>
      <c r="H326">
        <v>2018</v>
      </c>
      <c r="I326">
        <v>7209.6</v>
      </c>
      <c r="J326">
        <v>3303.8</v>
      </c>
      <c r="K326" s="1">
        <v>0.45829999999999999</v>
      </c>
      <c r="L326">
        <v>3905.7</v>
      </c>
      <c r="M326" s="1">
        <v>0.54169999999999996</v>
      </c>
      <c r="N326">
        <v>2183.8000000000002</v>
      </c>
      <c r="O326" s="1">
        <v>0.3029</v>
      </c>
      <c r="P326">
        <v>5025.8</v>
      </c>
      <c r="Q326" s="1">
        <v>0.69710000000000005</v>
      </c>
      <c r="R32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26" s="2">
        <f>Tabela_base[[#This Row],[Total Streams (in millions)]]-(Tabela_base[[#This Row],[Lead Streams (in millions)]]+Tabela_base[[#This Row],[Feature Streams (in millions)]])</f>
        <v>0.1000000000003638</v>
      </c>
    </row>
    <row r="327" spans="1:19" x14ac:dyDescent="0.3">
      <c r="A327" s="20">
        <v>326</v>
      </c>
      <c r="B327" t="s">
        <v>415</v>
      </c>
      <c r="C327" t="s">
        <v>17</v>
      </c>
      <c r="D327" t="s">
        <v>103</v>
      </c>
      <c r="E327" t="s">
        <v>41</v>
      </c>
      <c r="F327" t="s">
        <v>58</v>
      </c>
      <c r="G327" t="s">
        <v>21</v>
      </c>
      <c r="H327">
        <v>2015</v>
      </c>
      <c r="I327">
        <v>14293.7</v>
      </c>
      <c r="J327">
        <v>11695.5</v>
      </c>
      <c r="K327" s="1">
        <v>0.81820000000000004</v>
      </c>
      <c r="L327">
        <v>2609</v>
      </c>
      <c r="M327" s="1">
        <v>0.1825</v>
      </c>
      <c r="N327">
        <v>8588.9</v>
      </c>
      <c r="O327" s="1">
        <v>0.60089999999999999</v>
      </c>
      <c r="P327">
        <v>5704.8</v>
      </c>
      <c r="Q327" s="1">
        <v>0.39910000000000001</v>
      </c>
      <c r="R32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27" s="2">
        <f>Tabela_base[[#This Row],[Total Streams (in millions)]]-(Tabela_base[[#This Row],[Lead Streams (in millions)]]+Tabela_base[[#This Row],[Feature Streams (in millions)]])</f>
        <v>-10.799999999999272</v>
      </c>
    </row>
    <row r="328" spans="1:19" x14ac:dyDescent="0.3">
      <c r="A328" s="20">
        <v>327</v>
      </c>
      <c r="B328" t="s">
        <v>416</v>
      </c>
      <c r="C328" t="s">
        <v>17</v>
      </c>
      <c r="D328" t="s">
        <v>18</v>
      </c>
      <c r="E328" t="s">
        <v>19</v>
      </c>
      <c r="F328" t="s">
        <v>171</v>
      </c>
      <c r="G328" t="s">
        <v>23</v>
      </c>
      <c r="H328">
        <v>2014</v>
      </c>
      <c r="I328">
        <v>31171.1</v>
      </c>
      <c r="J328">
        <v>26589.9</v>
      </c>
      <c r="K328" s="1">
        <v>0.85299999999999998</v>
      </c>
      <c r="L328">
        <v>4600.3999999999996</v>
      </c>
      <c r="M328" s="1">
        <v>0.14760000000000001</v>
      </c>
      <c r="N328">
        <v>23825.8</v>
      </c>
      <c r="O328" s="1">
        <v>0.76439999999999997</v>
      </c>
      <c r="P328">
        <v>7345.3</v>
      </c>
      <c r="Q328" s="1">
        <v>0.2356</v>
      </c>
      <c r="R32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28" s="2">
        <f>Tabela_base[[#This Row],[Total Streams (in millions)]]-(Tabela_base[[#This Row],[Lead Streams (in millions)]]+Tabela_base[[#This Row],[Feature Streams (in millions)]])</f>
        <v>-19.200000000004366</v>
      </c>
    </row>
    <row r="329" spans="1:19" x14ac:dyDescent="0.3">
      <c r="A329" s="20">
        <v>328</v>
      </c>
      <c r="B329" t="s">
        <v>417</v>
      </c>
      <c r="C329" t="s">
        <v>17</v>
      </c>
      <c r="D329" t="s">
        <v>25</v>
      </c>
      <c r="E329" t="s">
        <v>19</v>
      </c>
      <c r="F329" t="s">
        <v>29</v>
      </c>
      <c r="G329" t="s">
        <v>21</v>
      </c>
      <c r="H329">
        <v>2009</v>
      </c>
      <c r="I329">
        <v>7713.9</v>
      </c>
      <c r="J329">
        <v>7713.9</v>
      </c>
      <c r="K329" s="1">
        <v>1</v>
      </c>
      <c r="L329">
        <v>0</v>
      </c>
      <c r="M329" s="1">
        <v>0</v>
      </c>
      <c r="N329">
        <v>7200.6</v>
      </c>
      <c r="O329" s="1">
        <v>0.9335</v>
      </c>
      <c r="P329">
        <v>513.29999999999995</v>
      </c>
      <c r="Q329" s="1">
        <v>6.6500000000000004E-2</v>
      </c>
      <c r="R32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29" s="2">
        <f>Tabela_base[[#This Row],[Total Streams (in millions)]]-(Tabela_base[[#This Row],[Lead Streams (in millions)]]+Tabela_base[[#This Row],[Feature Streams (in millions)]])</f>
        <v>0</v>
      </c>
    </row>
    <row r="330" spans="1:19" x14ac:dyDescent="0.3">
      <c r="A330" s="20">
        <v>329</v>
      </c>
      <c r="B330" t="s">
        <v>418</v>
      </c>
      <c r="C330" t="s">
        <v>17</v>
      </c>
      <c r="D330" t="s">
        <v>25</v>
      </c>
      <c r="E330" t="s">
        <v>19</v>
      </c>
      <c r="F330" t="s">
        <v>29</v>
      </c>
      <c r="G330" t="s">
        <v>21</v>
      </c>
      <c r="H330">
        <v>1999</v>
      </c>
      <c r="I330">
        <v>9212.4</v>
      </c>
      <c r="J330">
        <v>7752.7</v>
      </c>
      <c r="K330" s="1">
        <v>0.84160000000000001</v>
      </c>
      <c r="L330">
        <v>1460.8</v>
      </c>
      <c r="M330" s="1">
        <v>0.15859999999999999</v>
      </c>
      <c r="N330">
        <v>9165</v>
      </c>
      <c r="O330" s="1">
        <v>0.99490000000000001</v>
      </c>
      <c r="P330">
        <v>47.4</v>
      </c>
      <c r="Q330" s="1">
        <v>5.1000000000000004E-3</v>
      </c>
      <c r="R33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30" s="2">
        <f>Tabela_base[[#This Row],[Total Streams (in millions)]]-(Tabela_base[[#This Row],[Lead Streams (in millions)]]+Tabela_base[[#This Row],[Feature Streams (in millions)]])</f>
        <v>-1.1000000000003638</v>
      </c>
    </row>
    <row r="331" spans="1:19" x14ac:dyDescent="0.3">
      <c r="A331" s="20">
        <v>330</v>
      </c>
      <c r="B331" t="s">
        <v>419</v>
      </c>
      <c r="C331" t="s">
        <v>17</v>
      </c>
      <c r="D331" t="s">
        <v>18</v>
      </c>
      <c r="E331" t="s">
        <v>19</v>
      </c>
      <c r="F331" t="s">
        <v>29</v>
      </c>
      <c r="G331" t="s">
        <v>21</v>
      </c>
      <c r="H331">
        <v>2002</v>
      </c>
      <c r="I331">
        <v>10180.200000000001</v>
      </c>
      <c r="J331">
        <v>10185.799999999999</v>
      </c>
      <c r="K331" s="1">
        <v>1.0005999999999999</v>
      </c>
      <c r="L331">
        <v>0</v>
      </c>
      <c r="M331" s="1">
        <v>0</v>
      </c>
      <c r="N331">
        <v>10132.799999999999</v>
      </c>
      <c r="O331" s="1">
        <v>0.99529999999999996</v>
      </c>
      <c r="P331">
        <v>47.4</v>
      </c>
      <c r="Q331" s="1">
        <v>4.7000000000000002E-3</v>
      </c>
      <c r="R33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331" s="2">
        <f>Tabela_base[[#This Row],[Total Streams (in millions)]]-(Tabela_base[[#This Row],[Lead Streams (in millions)]]+Tabela_base[[#This Row],[Feature Streams (in millions)]])</f>
        <v>-5.5999999999985448</v>
      </c>
    </row>
    <row r="332" spans="1:19" x14ac:dyDescent="0.3">
      <c r="A332" s="20">
        <v>331</v>
      </c>
      <c r="B332" t="s">
        <v>420</v>
      </c>
      <c r="C332" t="s">
        <v>17</v>
      </c>
      <c r="D332" t="s">
        <v>18</v>
      </c>
      <c r="E332" t="s">
        <v>41</v>
      </c>
      <c r="F332" t="s">
        <v>42</v>
      </c>
      <c r="G332" t="s">
        <v>23</v>
      </c>
      <c r="H332">
        <v>2016</v>
      </c>
      <c r="I332">
        <v>33620.699999999997</v>
      </c>
      <c r="J332">
        <v>14022.5</v>
      </c>
      <c r="K332" s="1">
        <v>0.41710000000000003</v>
      </c>
      <c r="L332">
        <v>19614.7</v>
      </c>
      <c r="M332" s="1">
        <v>0.58340000000000003</v>
      </c>
      <c r="N332">
        <v>9406.6</v>
      </c>
      <c r="O332" s="1">
        <v>0.27979999999999999</v>
      </c>
      <c r="P332">
        <v>24214.1</v>
      </c>
      <c r="Q332" s="1">
        <v>0.72019999999999995</v>
      </c>
      <c r="R33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32" s="2">
        <f>Tabela_base[[#This Row],[Total Streams (in millions)]]-(Tabela_base[[#This Row],[Lead Streams (in millions)]]+Tabela_base[[#This Row],[Feature Streams (in millions)]])</f>
        <v>-16.5</v>
      </c>
    </row>
    <row r="333" spans="1:19" x14ac:dyDescent="0.3">
      <c r="A333" s="20">
        <v>332</v>
      </c>
      <c r="B333" t="s">
        <v>421</v>
      </c>
      <c r="C333" t="s">
        <v>17</v>
      </c>
      <c r="D333" t="s">
        <v>57</v>
      </c>
      <c r="E333" t="s">
        <v>41</v>
      </c>
      <c r="F333" t="s">
        <v>65</v>
      </c>
      <c r="G333" t="s">
        <v>23</v>
      </c>
      <c r="H333">
        <v>2018</v>
      </c>
      <c r="I333">
        <v>20300.7</v>
      </c>
      <c r="J333">
        <v>13993.4</v>
      </c>
      <c r="K333" s="1">
        <v>0.68930000000000002</v>
      </c>
      <c r="L333">
        <v>6316.3</v>
      </c>
      <c r="M333" s="1">
        <v>0.31109999999999999</v>
      </c>
      <c r="N333">
        <v>7574.2</v>
      </c>
      <c r="O333" s="1">
        <v>0.37309999999999999</v>
      </c>
      <c r="P333">
        <v>12726.5</v>
      </c>
      <c r="Q333" s="1">
        <v>0.62690000000000001</v>
      </c>
      <c r="R33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33" s="2">
        <f>Tabela_base[[#This Row],[Total Streams (in millions)]]-(Tabela_base[[#This Row],[Lead Streams (in millions)]]+Tabela_base[[#This Row],[Feature Streams (in millions)]])</f>
        <v>-9</v>
      </c>
    </row>
    <row r="334" spans="1:19" x14ac:dyDescent="0.3">
      <c r="A334" s="20">
        <v>333</v>
      </c>
      <c r="B334" t="s">
        <v>422</v>
      </c>
      <c r="C334" t="s">
        <v>17</v>
      </c>
      <c r="D334" t="s">
        <v>18</v>
      </c>
      <c r="E334" t="s">
        <v>19</v>
      </c>
      <c r="F334" t="s">
        <v>20</v>
      </c>
      <c r="G334" t="s">
        <v>23</v>
      </c>
      <c r="H334">
        <v>1992</v>
      </c>
      <c r="I334">
        <v>8235.9</v>
      </c>
      <c r="J334">
        <v>1236.7</v>
      </c>
      <c r="K334" s="1">
        <v>0.1502</v>
      </c>
      <c r="L334">
        <v>6999.2</v>
      </c>
      <c r="M334" s="1">
        <v>0.8498</v>
      </c>
      <c r="N334">
        <v>228.2</v>
      </c>
      <c r="O334" s="1">
        <v>2.7699999999999999E-2</v>
      </c>
      <c r="P334">
        <v>8007.7</v>
      </c>
      <c r="Q334" s="1">
        <v>0.97230000000000005</v>
      </c>
      <c r="R33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34" s="2">
        <f>Tabela_base[[#This Row],[Total Streams (in millions)]]-(Tabela_base[[#This Row],[Lead Streams (in millions)]]+Tabela_base[[#This Row],[Feature Streams (in millions)]])</f>
        <v>0</v>
      </c>
    </row>
    <row r="335" spans="1:19" x14ac:dyDescent="0.3">
      <c r="A335" s="20">
        <v>334</v>
      </c>
      <c r="B335" t="s">
        <v>423</v>
      </c>
      <c r="C335" t="s">
        <v>49</v>
      </c>
      <c r="D335" t="s">
        <v>219</v>
      </c>
      <c r="E335" t="s">
        <v>41</v>
      </c>
      <c r="F335" t="s">
        <v>42</v>
      </c>
      <c r="G335" t="s">
        <v>23</v>
      </c>
      <c r="H335">
        <v>2010</v>
      </c>
      <c r="I335">
        <v>8960.1</v>
      </c>
      <c r="J335">
        <v>3564</v>
      </c>
      <c r="K335" s="1">
        <v>0.39779999999999999</v>
      </c>
      <c r="L335">
        <v>5398.2</v>
      </c>
      <c r="M335" s="1">
        <v>0.60250000000000004</v>
      </c>
      <c r="N335">
        <v>687.9</v>
      </c>
      <c r="O335" s="1">
        <v>7.6799999999999993E-2</v>
      </c>
      <c r="P335">
        <v>8272.2000000000007</v>
      </c>
      <c r="Q335" s="1">
        <v>0.92320000000000002</v>
      </c>
      <c r="R33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35" s="2">
        <f>Tabela_base[[#This Row],[Total Streams (in millions)]]-(Tabela_base[[#This Row],[Lead Streams (in millions)]]+Tabela_base[[#This Row],[Feature Streams (in millions)]])</f>
        <v>-2.1000000000003638</v>
      </c>
    </row>
    <row r="336" spans="1:19" x14ac:dyDescent="0.3">
      <c r="A336" s="20">
        <v>335</v>
      </c>
      <c r="B336" t="s">
        <v>424</v>
      </c>
      <c r="C336" t="s">
        <v>17</v>
      </c>
      <c r="D336" t="s">
        <v>62</v>
      </c>
      <c r="E336" t="s">
        <v>19</v>
      </c>
      <c r="F336" t="s">
        <v>20</v>
      </c>
      <c r="G336" t="s">
        <v>23</v>
      </c>
      <c r="H336">
        <v>2017</v>
      </c>
      <c r="I336">
        <v>8564.4</v>
      </c>
      <c r="J336">
        <v>5619.6</v>
      </c>
      <c r="K336" s="1">
        <v>0.65620000000000001</v>
      </c>
      <c r="L336">
        <v>2944.9</v>
      </c>
      <c r="M336" s="1">
        <v>0.34389999999999998</v>
      </c>
      <c r="N336">
        <v>1852.6</v>
      </c>
      <c r="O336" s="1">
        <v>0.21629999999999999</v>
      </c>
      <c r="P336">
        <v>6711.8</v>
      </c>
      <c r="Q336" s="1">
        <v>0.78369999999999995</v>
      </c>
      <c r="R33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36" s="2">
        <f>Tabela_base[[#This Row],[Total Streams (in millions)]]-(Tabela_base[[#This Row],[Lead Streams (in millions)]]+Tabela_base[[#This Row],[Feature Streams (in millions)]])</f>
        <v>-0.1000000000003638</v>
      </c>
    </row>
    <row r="337" spans="1:19" x14ac:dyDescent="0.3">
      <c r="A337" s="20">
        <v>336</v>
      </c>
      <c r="B337" t="s">
        <v>425</v>
      </c>
      <c r="C337" t="s">
        <v>17</v>
      </c>
      <c r="D337" t="s">
        <v>18</v>
      </c>
      <c r="E337" t="s">
        <v>19</v>
      </c>
      <c r="F337" t="s">
        <v>20</v>
      </c>
      <c r="G337" t="s">
        <v>23</v>
      </c>
      <c r="H337">
        <v>2000</v>
      </c>
      <c r="I337">
        <v>7729.6</v>
      </c>
      <c r="J337">
        <v>6445.6</v>
      </c>
      <c r="K337" s="1">
        <v>0.83389999999999997</v>
      </c>
      <c r="L337">
        <v>1287.7</v>
      </c>
      <c r="M337" s="1">
        <v>0.1666</v>
      </c>
      <c r="N337">
        <v>2355.3000000000002</v>
      </c>
      <c r="O337" s="1">
        <v>0.30470000000000003</v>
      </c>
      <c r="P337">
        <v>5374.3</v>
      </c>
      <c r="Q337" s="1">
        <v>0.69530000000000003</v>
      </c>
      <c r="R33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37" s="2">
        <f>Tabela_base[[#This Row],[Total Streams (in millions)]]-(Tabela_base[[#This Row],[Lead Streams (in millions)]]+Tabela_base[[#This Row],[Feature Streams (in millions)]])</f>
        <v>-3.6999999999998181</v>
      </c>
    </row>
    <row r="338" spans="1:19" x14ac:dyDescent="0.3">
      <c r="A338" s="20">
        <v>337</v>
      </c>
      <c r="B338" t="s">
        <v>426</v>
      </c>
      <c r="C338" t="s">
        <v>49</v>
      </c>
      <c r="D338" t="s">
        <v>62</v>
      </c>
      <c r="E338" t="s">
        <v>19</v>
      </c>
      <c r="F338" t="s">
        <v>46</v>
      </c>
      <c r="G338" t="s">
        <v>23</v>
      </c>
      <c r="H338">
        <v>2000</v>
      </c>
      <c r="I338">
        <v>7628.1</v>
      </c>
      <c r="J338">
        <v>6657.6</v>
      </c>
      <c r="K338" s="1">
        <v>0.87280000000000002</v>
      </c>
      <c r="L338">
        <v>974.8</v>
      </c>
      <c r="M338" s="1">
        <v>0.1278</v>
      </c>
      <c r="N338">
        <v>3569</v>
      </c>
      <c r="O338" s="1">
        <v>0.46789999999999998</v>
      </c>
      <c r="P338">
        <v>4059.1</v>
      </c>
      <c r="Q338" s="1">
        <v>0.53210000000000002</v>
      </c>
      <c r="R33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38" s="2">
        <f>Tabela_base[[#This Row],[Total Streams (in millions)]]-(Tabela_base[[#This Row],[Lead Streams (in millions)]]+Tabela_base[[#This Row],[Feature Streams (in millions)]])</f>
        <v>-4.3000000000001819</v>
      </c>
    </row>
    <row r="339" spans="1:19" x14ac:dyDescent="0.3">
      <c r="A339" s="20">
        <v>338</v>
      </c>
      <c r="B339" t="s">
        <v>427</v>
      </c>
      <c r="C339" t="s">
        <v>17</v>
      </c>
      <c r="D339" t="s">
        <v>57</v>
      </c>
      <c r="E339" t="s">
        <v>41</v>
      </c>
      <c r="F339" t="s">
        <v>58</v>
      </c>
      <c r="G339" t="s">
        <v>23</v>
      </c>
      <c r="H339">
        <v>2023</v>
      </c>
      <c r="I339">
        <v>9854</v>
      </c>
      <c r="J339">
        <v>8668.1</v>
      </c>
      <c r="K339" s="1">
        <v>0.87970000000000004</v>
      </c>
      <c r="L339">
        <v>1197.3</v>
      </c>
      <c r="M339" s="1">
        <v>0.1215</v>
      </c>
      <c r="N339">
        <v>2611.1</v>
      </c>
      <c r="O339" s="1">
        <v>0.26500000000000001</v>
      </c>
      <c r="P339">
        <v>7242.9</v>
      </c>
      <c r="Q339" s="1">
        <v>0.73499999999999999</v>
      </c>
      <c r="R33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39" s="2">
        <f>Tabela_base[[#This Row],[Total Streams (in millions)]]-(Tabela_base[[#This Row],[Lead Streams (in millions)]]+Tabela_base[[#This Row],[Feature Streams (in millions)]])</f>
        <v>-11.399999999999636</v>
      </c>
    </row>
    <row r="340" spans="1:19" x14ac:dyDescent="0.3">
      <c r="A340" s="20">
        <v>339</v>
      </c>
      <c r="B340" t="s">
        <v>428</v>
      </c>
      <c r="C340" t="s">
        <v>49</v>
      </c>
      <c r="D340" t="s">
        <v>124</v>
      </c>
      <c r="E340" t="s">
        <v>125</v>
      </c>
      <c r="F340" t="s">
        <v>126</v>
      </c>
      <c r="G340" t="s">
        <v>21</v>
      </c>
      <c r="H340">
        <v>2022</v>
      </c>
      <c r="I340">
        <v>7886.9</v>
      </c>
      <c r="J340">
        <v>7880.6</v>
      </c>
      <c r="K340" s="1">
        <v>0.99919999999999998</v>
      </c>
      <c r="L340">
        <v>5.3</v>
      </c>
      <c r="M340" s="1">
        <v>6.9999999999999999E-4</v>
      </c>
      <c r="N340">
        <v>7566</v>
      </c>
      <c r="O340" s="1">
        <v>0.95930000000000004</v>
      </c>
      <c r="P340">
        <v>320.89999999999998</v>
      </c>
      <c r="Q340" s="1">
        <v>4.07E-2</v>
      </c>
      <c r="R34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40" s="2">
        <f>Tabela_base[[#This Row],[Total Streams (in millions)]]-(Tabela_base[[#This Row],[Lead Streams (in millions)]]+Tabela_base[[#This Row],[Feature Streams (in millions)]])</f>
        <v>0.99999999999909051</v>
      </c>
    </row>
    <row r="341" spans="1:19" x14ac:dyDescent="0.3">
      <c r="A341" s="20">
        <v>340</v>
      </c>
      <c r="B341" t="s">
        <v>429</v>
      </c>
      <c r="C341" t="s">
        <v>17</v>
      </c>
      <c r="D341" t="s">
        <v>18</v>
      </c>
      <c r="E341" t="s">
        <v>19</v>
      </c>
      <c r="F341" t="s">
        <v>33</v>
      </c>
      <c r="G341" t="s">
        <v>23</v>
      </c>
      <c r="H341">
        <v>2006</v>
      </c>
      <c r="I341">
        <v>14888.6</v>
      </c>
      <c r="J341">
        <v>8808.5</v>
      </c>
      <c r="K341" s="1">
        <v>0.59160000000000001</v>
      </c>
      <c r="L341">
        <v>6090.2</v>
      </c>
      <c r="M341" s="1">
        <v>0.40910000000000002</v>
      </c>
      <c r="N341">
        <v>8012</v>
      </c>
      <c r="O341" s="1">
        <v>0.53810000000000002</v>
      </c>
      <c r="P341">
        <v>6876.6</v>
      </c>
      <c r="Q341" s="1">
        <v>0.46189999999999998</v>
      </c>
      <c r="R34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41" s="2">
        <f>Tabela_base[[#This Row],[Total Streams (in millions)]]-(Tabela_base[[#This Row],[Lead Streams (in millions)]]+Tabela_base[[#This Row],[Feature Streams (in millions)]])</f>
        <v>-10.100000000000364</v>
      </c>
    </row>
    <row r="342" spans="1:19" x14ac:dyDescent="0.3">
      <c r="A342" s="20">
        <v>341</v>
      </c>
      <c r="B342" t="s">
        <v>430</v>
      </c>
      <c r="C342" t="s">
        <v>17</v>
      </c>
      <c r="D342" t="s">
        <v>18</v>
      </c>
      <c r="E342" t="s">
        <v>19</v>
      </c>
      <c r="F342" t="s">
        <v>20</v>
      </c>
      <c r="G342" t="s">
        <v>23</v>
      </c>
      <c r="H342">
        <v>2010</v>
      </c>
      <c r="I342">
        <v>13891.9</v>
      </c>
      <c r="J342">
        <v>9309.2000000000007</v>
      </c>
      <c r="K342" s="1">
        <v>0.67010000000000003</v>
      </c>
      <c r="L342">
        <v>4586.6000000000004</v>
      </c>
      <c r="M342" s="1">
        <v>0.33019999999999999</v>
      </c>
      <c r="N342">
        <v>12293.1</v>
      </c>
      <c r="O342" s="1">
        <v>0.88490000000000002</v>
      </c>
      <c r="P342">
        <v>1598.8</v>
      </c>
      <c r="Q342" s="1">
        <v>0.11509999999999999</v>
      </c>
      <c r="R34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42" s="2">
        <f>Tabela_base[[#This Row],[Total Streams (in millions)]]-(Tabela_base[[#This Row],[Lead Streams (in millions)]]+Tabela_base[[#This Row],[Feature Streams (in millions)]])</f>
        <v>-3.9000000000014552</v>
      </c>
    </row>
    <row r="343" spans="1:19" x14ac:dyDescent="0.3">
      <c r="A343" s="20">
        <v>342</v>
      </c>
      <c r="B343" t="s">
        <v>431</v>
      </c>
      <c r="C343" t="s">
        <v>17</v>
      </c>
      <c r="D343" t="s">
        <v>268</v>
      </c>
      <c r="E343" t="s">
        <v>19</v>
      </c>
      <c r="F343" t="s">
        <v>46</v>
      </c>
      <c r="G343" t="s">
        <v>23</v>
      </c>
      <c r="H343">
        <v>2010</v>
      </c>
      <c r="I343">
        <v>8263</v>
      </c>
      <c r="J343">
        <v>3585.1</v>
      </c>
      <c r="K343" s="1">
        <v>0.43390000000000001</v>
      </c>
      <c r="L343">
        <v>4693.6000000000004</v>
      </c>
      <c r="M343" s="1">
        <v>0.56799999999999995</v>
      </c>
      <c r="N343">
        <v>6241</v>
      </c>
      <c r="O343" s="1">
        <v>0.75529999999999997</v>
      </c>
      <c r="P343">
        <v>2022</v>
      </c>
      <c r="Q343" s="1">
        <v>0.2447</v>
      </c>
      <c r="R34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43" s="2">
        <f>Tabela_base[[#This Row],[Total Streams (in millions)]]-(Tabela_base[[#This Row],[Lead Streams (in millions)]]+Tabela_base[[#This Row],[Feature Streams (in millions)]])</f>
        <v>-15.700000000000728</v>
      </c>
    </row>
    <row r="344" spans="1:19" x14ac:dyDescent="0.3">
      <c r="A344" s="20">
        <v>343</v>
      </c>
      <c r="B344" t="s">
        <v>432</v>
      </c>
      <c r="C344" t="s">
        <v>17</v>
      </c>
      <c r="D344" t="s">
        <v>62</v>
      </c>
      <c r="E344" t="s">
        <v>19</v>
      </c>
      <c r="F344" t="s">
        <v>29</v>
      </c>
      <c r="G344" t="s">
        <v>21</v>
      </c>
      <c r="H344">
        <v>1996</v>
      </c>
      <c r="I344">
        <v>9933.4</v>
      </c>
      <c r="J344">
        <v>9932.9</v>
      </c>
      <c r="K344" s="1">
        <v>0.99990000000000001</v>
      </c>
      <c r="L344">
        <v>6.1</v>
      </c>
      <c r="M344" s="1">
        <v>5.9999999999999995E-4</v>
      </c>
      <c r="N344">
        <v>9864.7000000000007</v>
      </c>
      <c r="O344" s="1">
        <v>0.99309999999999998</v>
      </c>
      <c r="P344">
        <v>68.7</v>
      </c>
      <c r="Q344" s="1">
        <v>6.8999999999999999E-3</v>
      </c>
      <c r="R34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44" s="2">
        <f>Tabela_base[[#This Row],[Total Streams (in millions)]]-(Tabela_base[[#This Row],[Lead Streams (in millions)]]+Tabela_base[[#This Row],[Feature Streams (in millions)]])</f>
        <v>-5.6000000000003638</v>
      </c>
    </row>
    <row r="345" spans="1:19" x14ac:dyDescent="0.3">
      <c r="A345" s="20">
        <v>344</v>
      </c>
      <c r="B345" t="s">
        <v>433</v>
      </c>
      <c r="C345" t="s">
        <v>49</v>
      </c>
      <c r="D345" t="s">
        <v>434</v>
      </c>
      <c r="E345" t="s">
        <v>19</v>
      </c>
      <c r="F345" t="s">
        <v>20</v>
      </c>
      <c r="G345" t="s">
        <v>23</v>
      </c>
      <c r="H345">
        <v>2007</v>
      </c>
      <c r="I345">
        <v>43330.3</v>
      </c>
      <c r="J345">
        <v>16316.4</v>
      </c>
      <c r="K345" s="1">
        <v>0.37659999999999999</v>
      </c>
      <c r="L345">
        <v>27027.9</v>
      </c>
      <c r="M345" s="1">
        <v>0.62380000000000002</v>
      </c>
      <c r="N345">
        <v>9618.2000000000007</v>
      </c>
      <c r="O345" s="1">
        <v>0.222</v>
      </c>
      <c r="P345">
        <v>33712.1</v>
      </c>
      <c r="Q345" s="1">
        <v>0.77800000000000002</v>
      </c>
      <c r="R34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45" s="2">
        <f>Tabela_base[[#This Row],[Total Streams (in millions)]]-(Tabela_base[[#This Row],[Lead Streams (in millions)]]+Tabela_base[[#This Row],[Feature Streams (in millions)]])</f>
        <v>-14</v>
      </c>
    </row>
    <row r="346" spans="1:19" x14ac:dyDescent="0.3">
      <c r="A346" s="20">
        <v>345</v>
      </c>
      <c r="B346" t="s">
        <v>435</v>
      </c>
      <c r="C346" t="s">
        <v>49</v>
      </c>
      <c r="D346" t="s">
        <v>120</v>
      </c>
      <c r="E346" t="s">
        <v>41</v>
      </c>
      <c r="F346" t="s">
        <v>58</v>
      </c>
      <c r="G346" t="s">
        <v>23</v>
      </c>
      <c r="H346">
        <v>2019</v>
      </c>
      <c r="I346">
        <v>7256.2</v>
      </c>
      <c r="J346">
        <v>2470.4</v>
      </c>
      <c r="K346" s="1">
        <v>0.34050000000000002</v>
      </c>
      <c r="L346">
        <v>4785.8</v>
      </c>
      <c r="M346" s="1">
        <v>0.65949999999999998</v>
      </c>
      <c r="N346">
        <v>976.1</v>
      </c>
      <c r="O346" s="1">
        <v>0.13450000000000001</v>
      </c>
      <c r="P346">
        <v>6280.1</v>
      </c>
      <c r="Q346" s="1">
        <v>0.86550000000000005</v>
      </c>
      <c r="R34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46" s="2">
        <f>Tabela_base[[#This Row],[Total Streams (in millions)]]-(Tabela_base[[#This Row],[Lead Streams (in millions)]]+Tabela_base[[#This Row],[Feature Streams (in millions)]])</f>
        <v>0</v>
      </c>
    </row>
    <row r="347" spans="1:19" x14ac:dyDescent="0.3">
      <c r="A347" s="20">
        <v>346</v>
      </c>
      <c r="B347" t="s">
        <v>436</v>
      </c>
      <c r="C347" t="s">
        <v>17</v>
      </c>
      <c r="D347" t="s">
        <v>18</v>
      </c>
      <c r="E347" t="s">
        <v>41</v>
      </c>
      <c r="F347" t="s">
        <v>42</v>
      </c>
      <c r="G347" t="s">
        <v>23</v>
      </c>
      <c r="H347">
        <v>1995</v>
      </c>
      <c r="I347">
        <v>25875.4</v>
      </c>
      <c r="J347">
        <v>11175.4</v>
      </c>
      <c r="K347" s="1">
        <v>0.43190000000000001</v>
      </c>
      <c r="L347">
        <v>14672</v>
      </c>
      <c r="M347" s="1">
        <v>0.56699999999999995</v>
      </c>
      <c r="N347">
        <v>2972.5</v>
      </c>
      <c r="O347" s="1">
        <v>0.1149</v>
      </c>
      <c r="P347">
        <v>22902.9</v>
      </c>
      <c r="Q347" s="1">
        <v>0.8851</v>
      </c>
      <c r="R34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47" s="2">
        <f>Tabela_base[[#This Row],[Total Streams (in millions)]]-(Tabela_base[[#This Row],[Lead Streams (in millions)]]+Tabela_base[[#This Row],[Feature Streams (in millions)]])</f>
        <v>28</v>
      </c>
    </row>
    <row r="348" spans="1:19" x14ac:dyDescent="0.3">
      <c r="A348" s="20">
        <v>347</v>
      </c>
      <c r="B348" t="s">
        <v>437</v>
      </c>
      <c r="C348" t="s">
        <v>17</v>
      </c>
      <c r="D348" t="s">
        <v>185</v>
      </c>
      <c r="E348" t="s">
        <v>150</v>
      </c>
      <c r="F348" t="s">
        <v>20</v>
      </c>
      <c r="G348" t="s">
        <v>23</v>
      </c>
      <c r="H348">
        <v>2017</v>
      </c>
      <c r="I348">
        <v>11459.5</v>
      </c>
      <c r="J348">
        <v>7069.7</v>
      </c>
      <c r="K348" s="1">
        <v>0.6169</v>
      </c>
      <c r="L348">
        <v>4399.6000000000004</v>
      </c>
      <c r="M348" s="1">
        <v>0.38390000000000002</v>
      </c>
      <c r="N348">
        <v>5201.3999999999996</v>
      </c>
      <c r="O348" s="1">
        <v>0.45390000000000003</v>
      </c>
      <c r="P348">
        <v>6258.1</v>
      </c>
      <c r="Q348" s="1">
        <v>0.54610000000000003</v>
      </c>
      <c r="R34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48" s="2">
        <f>Tabela_base[[#This Row],[Total Streams (in millions)]]-(Tabela_base[[#This Row],[Lead Streams (in millions)]]+Tabela_base[[#This Row],[Feature Streams (in millions)]])</f>
        <v>-9.7999999999992724</v>
      </c>
    </row>
    <row r="349" spans="1:19" x14ac:dyDescent="0.3">
      <c r="A349" s="20">
        <v>348</v>
      </c>
      <c r="B349" t="s">
        <v>438</v>
      </c>
      <c r="C349" t="s">
        <v>17</v>
      </c>
      <c r="D349" t="s">
        <v>18</v>
      </c>
      <c r="E349" t="s">
        <v>19</v>
      </c>
      <c r="F349" t="s">
        <v>29</v>
      </c>
      <c r="G349" t="s">
        <v>21</v>
      </c>
      <c r="H349">
        <v>1989</v>
      </c>
      <c r="I349">
        <v>16228.7</v>
      </c>
      <c r="J349">
        <v>16236</v>
      </c>
      <c r="K349" s="1">
        <v>1.0004</v>
      </c>
      <c r="L349">
        <v>0</v>
      </c>
      <c r="M349" s="1">
        <v>0</v>
      </c>
      <c r="N349">
        <v>16228.7</v>
      </c>
      <c r="O349" s="1">
        <v>1</v>
      </c>
      <c r="P349">
        <v>0</v>
      </c>
      <c r="Q349" s="1">
        <v>0</v>
      </c>
      <c r="R34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349" s="2">
        <f>Tabela_base[[#This Row],[Total Streams (in millions)]]-(Tabela_base[[#This Row],[Lead Streams (in millions)]]+Tabela_base[[#This Row],[Feature Streams (in millions)]])</f>
        <v>-7.2999999999992724</v>
      </c>
    </row>
    <row r="350" spans="1:19" x14ac:dyDescent="0.3">
      <c r="A350" s="20">
        <v>349</v>
      </c>
      <c r="B350" t="s">
        <v>439</v>
      </c>
      <c r="C350" t="s">
        <v>17</v>
      </c>
      <c r="D350" t="s">
        <v>18</v>
      </c>
      <c r="E350" t="s">
        <v>19</v>
      </c>
      <c r="F350" t="s">
        <v>20</v>
      </c>
      <c r="G350" t="s">
        <v>23</v>
      </c>
      <c r="H350">
        <v>2018</v>
      </c>
      <c r="I350">
        <v>8453.7000000000007</v>
      </c>
      <c r="J350">
        <v>6568.5</v>
      </c>
      <c r="K350" s="1">
        <v>0.77700000000000002</v>
      </c>
      <c r="L350">
        <v>1885.2</v>
      </c>
      <c r="M350" s="1">
        <v>0.223</v>
      </c>
      <c r="N350">
        <v>4039.2</v>
      </c>
      <c r="O350" s="1">
        <v>0.4778</v>
      </c>
      <c r="P350">
        <v>4414.5</v>
      </c>
      <c r="Q350" s="1">
        <v>0.5222</v>
      </c>
      <c r="R35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50" s="2">
        <f>Tabela_base[[#This Row],[Total Streams (in millions)]]-(Tabela_base[[#This Row],[Lead Streams (in millions)]]+Tabela_base[[#This Row],[Feature Streams (in millions)]])</f>
        <v>0</v>
      </c>
    </row>
    <row r="351" spans="1:19" x14ac:dyDescent="0.3">
      <c r="A351" s="20">
        <v>350</v>
      </c>
      <c r="B351" t="s">
        <v>440</v>
      </c>
      <c r="C351" t="s">
        <v>17</v>
      </c>
      <c r="D351" t="s">
        <v>18</v>
      </c>
      <c r="E351" t="s">
        <v>19</v>
      </c>
      <c r="F351" t="s">
        <v>133</v>
      </c>
      <c r="G351" t="s">
        <v>23</v>
      </c>
      <c r="H351">
        <v>2017</v>
      </c>
      <c r="I351">
        <v>13543.1</v>
      </c>
      <c r="J351">
        <v>12815.1</v>
      </c>
      <c r="K351" s="1">
        <v>0.94620000000000004</v>
      </c>
      <c r="L351">
        <v>728</v>
      </c>
      <c r="M351" s="1">
        <v>5.3800000000000001E-2</v>
      </c>
      <c r="N351">
        <v>10726.1</v>
      </c>
      <c r="O351" s="1">
        <v>0.79200000000000004</v>
      </c>
      <c r="P351">
        <v>2817</v>
      </c>
      <c r="Q351" s="1">
        <v>0.20799999999999999</v>
      </c>
      <c r="R35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51" s="2">
        <f>Tabela_base[[#This Row],[Total Streams (in millions)]]-(Tabela_base[[#This Row],[Lead Streams (in millions)]]+Tabela_base[[#This Row],[Feature Streams (in millions)]])</f>
        <v>0</v>
      </c>
    </row>
    <row r="352" spans="1:19" x14ac:dyDescent="0.3">
      <c r="A352" s="20">
        <v>351</v>
      </c>
      <c r="B352" t="s">
        <v>441</v>
      </c>
      <c r="C352" t="s">
        <v>17</v>
      </c>
      <c r="D352" t="s">
        <v>18</v>
      </c>
      <c r="E352" t="s">
        <v>41</v>
      </c>
      <c r="F352" t="s">
        <v>42</v>
      </c>
      <c r="G352" t="s">
        <v>23</v>
      </c>
      <c r="H352">
        <v>2014</v>
      </c>
      <c r="I352">
        <v>8216.5</v>
      </c>
      <c r="J352">
        <v>760.9</v>
      </c>
      <c r="K352" s="1">
        <v>9.2600000000000002E-2</v>
      </c>
      <c r="L352">
        <v>7455.6</v>
      </c>
      <c r="M352" s="1">
        <v>0.90739999999999998</v>
      </c>
      <c r="N352">
        <v>196.8</v>
      </c>
      <c r="O352" s="1">
        <v>2.4E-2</v>
      </c>
      <c r="P352">
        <v>8019.7</v>
      </c>
      <c r="Q352" s="1">
        <v>0.97599999999999998</v>
      </c>
      <c r="R35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52" s="2">
        <f>Tabela_base[[#This Row],[Total Streams (in millions)]]-(Tabela_base[[#This Row],[Lead Streams (in millions)]]+Tabela_base[[#This Row],[Feature Streams (in millions)]])</f>
        <v>0</v>
      </c>
    </row>
    <row r="353" spans="1:19" x14ac:dyDescent="0.3">
      <c r="A353" s="20">
        <v>352</v>
      </c>
      <c r="B353" t="s">
        <v>442</v>
      </c>
      <c r="C353" t="s">
        <v>17</v>
      </c>
      <c r="D353" t="s">
        <v>25</v>
      </c>
      <c r="E353" t="s">
        <v>19</v>
      </c>
      <c r="F353" t="s">
        <v>29</v>
      </c>
      <c r="G353" t="s">
        <v>21</v>
      </c>
      <c r="H353">
        <v>1994</v>
      </c>
      <c r="I353">
        <v>11063.6</v>
      </c>
      <c r="J353">
        <v>11073.6</v>
      </c>
      <c r="K353" s="1">
        <v>1.0008999999999999</v>
      </c>
      <c r="L353">
        <v>0</v>
      </c>
      <c r="M353" s="1">
        <v>0</v>
      </c>
      <c r="N353">
        <v>11061.4</v>
      </c>
      <c r="O353" s="1">
        <v>0.99980000000000002</v>
      </c>
      <c r="P353">
        <v>2.2000000000000002</v>
      </c>
      <c r="Q353" s="1">
        <v>2.0000000000000001E-4</v>
      </c>
      <c r="R35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353" s="2">
        <f>Tabela_base[[#This Row],[Total Streams (in millions)]]-(Tabela_base[[#This Row],[Lead Streams (in millions)]]+Tabela_base[[#This Row],[Feature Streams (in millions)]])</f>
        <v>-10</v>
      </c>
    </row>
    <row r="354" spans="1:19" x14ac:dyDescent="0.3">
      <c r="A354" s="20">
        <v>353</v>
      </c>
      <c r="B354" t="s">
        <v>443</v>
      </c>
      <c r="C354" t="s">
        <v>17</v>
      </c>
      <c r="D354" t="s">
        <v>18</v>
      </c>
      <c r="E354" t="s">
        <v>19</v>
      </c>
      <c r="F354" t="s">
        <v>20</v>
      </c>
      <c r="G354" t="s">
        <v>23</v>
      </c>
      <c r="H354">
        <v>2015</v>
      </c>
      <c r="I354">
        <v>14402.6</v>
      </c>
      <c r="J354">
        <v>13416.1</v>
      </c>
      <c r="K354" s="1">
        <v>0.93149999999999999</v>
      </c>
      <c r="L354">
        <v>990</v>
      </c>
      <c r="M354" s="1">
        <v>6.8699999999999997E-2</v>
      </c>
      <c r="N354">
        <v>791.1</v>
      </c>
      <c r="O354" s="1">
        <v>5.4899999999999997E-2</v>
      </c>
      <c r="P354">
        <v>13611.5</v>
      </c>
      <c r="Q354" s="1">
        <v>0.94510000000000005</v>
      </c>
      <c r="R35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54" s="2">
        <f>Tabela_base[[#This Row],[Total Streams (in millions)]]-(Tabela_base[[#This Row],[Lead Streams (in millions)]]+Tabela_base[[#This Row],[Feature Streams (in millions)]])</f>
        <v>-3.5</v>
      </c>
    </row>
    <row r="355" spans="1:19" x14ac:dyDescent="0.3">
      <c r="A355" s="20">
        <v>354</v>
      </c>
      <c r="B355" t="s">
        <v>444</v>
      </c>
      <c r="C355" t="s">
        <v>49</v>
      </c>
      <c r="D355" t="s">
        <v>25</v>
      </c>
      <c r="E355" t="s">
        <v>19</v>
      </c>
      <c r="F355" t="s">
        <v>74</v>
      </c>
      <c r="G355" t="s">
        <v>23</v>
      </c>
      <c r="H355">
        <v>2018</v>
      </c>
      <c r="I355">
        <v>7892.9</v>
      </c>
      <c r="J355">
        <v>7895.6</v>
      </c>
      <c r="K355" s="1">
        <v>1.0003</v>
      </c>
      <c r="L355">
        <v>0</v>
      </c>
      <c r="M355" s="1">
        <v>0</v>
      </c>
      <c r="N355">
        <v>7164.5</v>
      </c>
      <c r="O355" s="1">
        <v>0.90769999999999995</v>
      </c>
      <c r="P355">
        <v>728.4</v>
      </c>
      <c r="Q355" s="1">
        <v>9.2299999999999993E-2</v>
      </c>
      <c r="R35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355" s="2">
        <f>Tabela_base[[#This Row],[Total Streams (in millions)]]-(Tabela_base[[#This Row],[Lead Streams (in millions)]]+Tabela_base[[#This Row],[Feature Streams (in millions)]])</f>
        <v>-2.7000000000007276</v>
      </c>
    </row>
    <row r="356" spans="1:19" x14ac:dyDescent="0.3">
      <c r="A356" s="20">
        <v>355</v>
      </c>
      <c r="B356" t="s">
        <v>445</v>
      </c>
      <c r="C356" t="s">
        <v>49</v>
      </c>
      <c r="D356" t="s">
        <v>18</v>
      </c>
      <c r="E356" t="s">
        <v>19</v>
      </c>
      <c r="F356" t="s">
        <v>46</v>
      </c>
      <c r="G356" t="s">
        <v>23</v>
      </c>
      <c r="H356">
        <v>2021</v>
      </c>
      <c r="I356">
        <v>28799.7</v>
      </c>
      <c r="J356">
        <v>28797.599999999999</v>
      </c>
      <c r="K356" s="1">
        <v>0.99990000000000001</v>
      </c>
      <c r="L356">
        <v>2.2000000000000002</v>
      </c>
      <c r="M356" s="1">
        <v>1E-4</v>
      </c>
      <c r="N356">
        <v>26750.5</v>
      </c>
      <c r="O356" s="1">
        <v>0.92879999999999996</v>
      </c>
      <c r="P356">
        <v>2049.1999999999998</v>
      </c>
      <c r="Q356" s="1">
        <v>7.1199999999999999E-2</v>
      </c>
      <c r="R35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56" s="2">
        <f>Tabela_base[[#This Row],[Total Streams (in millions)]]-(Tabela_base[[#This Row],[Lead Streams (in millions)]]+Tabela_base[[#This Row],[Feature Streams (in millions)]])</f>
        <v>-9.9999999998544808E-2</v>
      </c>
    </row>
    <row r="357" spans="1:19" x14ac:dyDescent="0.3">
      <c r="A357" s="20">
        <v>356</v>
      </c>
      <c r="B357" t="s">
        <v>446</v>
      </c>
      <c r="C357" t="s">
        <v>17</v>
      </c>
      <c r="D357" t="s">
        <v>18</v>
      </c>
      <c r="E357" t="s">
        <v>41</v>
      </c>
      <c r="F357" t="s">
        <v>42</v>
      </c>
      <c r="G357" t="s">
        <v>23</v>
      </c>
      <c r="H357">
        <v>2017</v>
      </c>
      <c r="I357">
        <v>6972</v>
      </c>
      <c r="J357">
        <v>6956</v>
      </c>
      <c r="K357" s="1">
        <v>0.99770000000000003</v>
      </c>
      <c r="L357">
        <v>20.3</v>
      </c>
      <c r="M357" s="1">
        <v>2.8999999999999998E-3</v>
      </c>
      <c r="N357">
        <v>1876.2</v>
      </c>
      <c r="O357" s="1">
        <v>0.26910000000000001</v>
      </c>
      <c r="P357">
        <v>5095.8</v>
      </c>
      <c r="Q357" s="1">
        <v>0.73089999999999999</v>
      </c>
      <c r="R35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57" s="2">
        <f>Tabela_base[[#This Row],[Total Streams (in millions)]]-(Tabela_base[[#This Row],[Lead Streams (in millions)]]+Tabela_base[[#This Row],[Feature Streams (in millions)]])</f>
        <v>-4.3000000000001819</v>
      </c>
    </row>
    <row r="358" spans="1:19" x14ac:dyDescent="0.3">
      <c r="A358" s="20">
        <v>357</v>
      </c>
      <c r="B358" t="s">
        <v>447</v>
      </c>
      <c r="C358" t="s">
        <v>44</v>
      </c>
      <c r="D358" t="s">
        <v>25</v>
      </c>
      <c r="E358" t="s">
        <v>19</v>
      </c>
      <c r="F358" t="s">
        <v>46</v>
      </c>
      <c r="G358" t="s">
        <v>21</v>
      </c>
      <c r="H358">
        <v>2011</v>
      </c>
      <c r="I358">
        <v>28889.5</v>
      </c>
      <c r="J358">
        <v>28898.2</v>
      </c>
      <c r="K358" s="1">
        <v>1.0003</v>
      </c>
      <c r="L358">
        <v>0</v>
      </c>
      <c r="M358" s="1">
        <v>0</v>
      </c>
      <c r="N358">
        <v>28801.9</v>
      </c>
      <c r="O358" s="1">
        <v>0.997</v>
      </c>
      <c r="P358">
        <v>87.6</v>
      </c>
      <c r="Q358" s="1">
        <v>3.0000000000000001E-3</v>
      </c>
      <c r="R35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358" s="2">
        <f>Tabela_base[[#This Row],[Total Streams (in millions)]]-(Tabela_base[[#This Row],[Lead Streams (in millions)]]+Tabela_base[[#This Row],[Feature Streams (in millions)]])</f>
        <v>-8.7000000000007276</v>
      </c>
    </row>
    <row r="359" spans="1:19" x14ac:dyDescent="0.3">
      <c r="A359" s="20">
        <v>358</v>
      </c>
      <c r="B359" t="s">
        <v>448</v>
      </c>
      <c r="C359" t="s">
        <v>44</v>
      </c>
      <c r="D359" t="s">
        <v>18</v>
      </c>
      <c r="E359" t="s">
        <v>19</v>
      </c>
      <c r="F359" t="s">
        <v>46</v>
      </c>
      <c r="G359" t="s">
        <v>21</v>
      </c>
      <c r="H359">
        <v>2007</v>
      </c>
      <c r="I359">
        <v>21182.2</v>
      </c>
      <c r="J359">
        <v>19519.400000000001</v>
      </c>
      <c r="K359" s="1">
        <v>0.92149999999999999</v>
      </c>
      <c r="L359">
        <v>1669.7</v>
      </c>
      <c r="M359" s="1">
        <v>7.8799999999999995E-2</v>
      </c>
      <c r="N359">
        <v>17506.599999999999</v>
      </c>
      <c r="O359" s="1">
        <v>0.82650000000000001</v>
      </c>
      <c r="P359">
        <v>3675.6</v>
      </c>
      <c r="Q359" s="1">
        <v>0.17349999999999999</v>
      </c>
      <c r="R35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59" s="2">
        <f>Tabela_base[[#This Row],[Total Streams (in millions)]]-(Tabela_base[[#This Row],[Lead Streams (in millions)]]+Tabela_base[[#This Row],[Feature Streams (in millions)]])</f>
        <v>-6.9000000000014552</v>
      </c>
    </row>
    <row r="360" spans="1:19" x14ac:dyDescent="0.3">
      <c r="A360" s="20">
        <v>359</v>
      </c>
      <c r="B360" t="s">
        <v>449</v>
      </c>
      <c r="C360" t="s">
        <v>17</v>
      </c>
      <c r="D360" t="s">
        <v>57</v>
      </c>
      <c r="E360" t="s">
        <v>41</v>
      </c>
      <c r="F360" t="s">
        <v>58</v>
      </c>
      <c r="G360" t="s">
        <v>23</v>
      </c>
      <c r="H360">
        <v>2020</v>
      </c>
      <c r="I360">
        <v>9609</v>
      </c>
      <c r="J360">
        <v>5573.7</v>
      </c>
      <c r="K360" s="1">
        <v>0.57999999999999996</v>
      </c>
      <c r="L360">
        <v>4061</v>
      </c>
      <c r="M360" s="1">
        <v>0.42259999999999998</v>
      </c>
      <c r="N360">
        <v>436.8</v>
      </c>
      <c r="O360" s="1">
        <v>4.5499999999999999E-2</v>
      </c>
      <c r="P360">
        <v>9172.2000000000007</v>
      </c>
      <c r="Q360" s="1">
        <v>0.95450000000000002</v>
      </c>
      <c r="R36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60" s="2">
        <f>Tabela_base[[#This Row],[Total Streams (in millions)]]-(Tabela_base[[#This Row],[Lead Streams (in millions)]]+Tabela_base[[#This Row],[Feature Streams (in millions)]])</f>
        <v>-25.700000000000728</v>
      </c>
    </row>
    <row r="361" spans="1:19" x14ac:dyDescent="0.3">
      <c r="A361" s="20">
        <v>360</v>
      </c>
      <c r="B361" t="s">
        <v>450</v>
      </c>
      <c r="C361" t="s">
        <v>17</v>
      </c>
      <c r="D361" t="s">
        <v>103</v>
      </c>
      <c r="E361" t="s">
        <v>41</v>
      </c>
      <c r="F361" t="s">
        <v>42</v>
      </c>
      <c r="G361" t="s">
        <v>23</v>
      </c>
      <c r="H361">
        <v>2016</v>
      </c>
      <c r="I361">
        <v>7921.6</v>
      </c>
      <c r="J361">
        <v>7400.3</v>
      </c>
      <c r="K361" s="1">
        <v>0.93420000000000003</v>
      </c>
      <c r="L361">
        <v>508.4</v>
      </c>
      <c r="M361" s="1">
        <v>6.4199999999999993E-2</v>
      </c>
      <c r="N361">
        <v>7.5</v>
      </c>
      <c r="O361" s="1">
        <v>8.9999999999999998E-4</v>
      </c>
      <c r="P361">
        <v>7914.1</v>
      </c>
      <c r="Q361" s="1">
        <v>0.99909999999999999</v>
      </c>
      <c r="R36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61" s="2">
        <f>Tabela_base[[#This Row],[Total Streams (in millions)]]-(Tabela_base[[#This Row],[Lead Streams (in millions)]]+Tabela_base[[#This Row],[Feature Streams (in millions)]])</f>
        <v>12.900000000000546</v>
      </c>
    </row>
    <row r="362" spans="1:19" x14ac:dyDescent="0.3">
      <c r="A362" s="20">
        <v>361</v>
      </c>
      <c r="B362" t="s">
        <v>451</v>
      </c>
      <c r="C362" t="s">
        <v>17</v>
      </c>
      <c r="D362" t="s">
        <v>18</v>
      </c>
      <c r="E362" t="s">
        <v>41</v>
      </c>
      <c r="F362" t="s">
        <v>42</v>
      </c>
      <c r="G362" t="s">
        <v>23</v>
      </c>
      <c r="H362">
        <v>2012</v>
      </c>
      <c r="I362">
        <v>47649.2</v>
      </c>
      <c r="J362">
        <v>20247.099999999999</v>
      </c>
      <c r="K362" s="1">
        <v>0.4249</v>
      </c>
      <c r="L362">
        <v>27418.9</v>
      </c>
      <c r="M362" s="1">
        <v>0.57540000000000002</v>
      </c>
      <c r="N362">
        <v>8621.1</v>
      </c>
      <c r="O362" s="1">
        <v>0.18090000000000001</v>
      </c>
      <c r="P362">
        <v>39028.1</v>
      </c>
      <c r="Q362" s="1">
        <v>0.81910000000000005</v>
      </c>
      <c r="R36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62" s="2">
        <f>Tabela_base[[#This Row],[Total Streams (in millions)]]-(Tabela_base[[#This Row],[Lead Streams (in millions)]]+Tabela_base[[#This Row],[Feature Streams (in millions)]])</f>
        <v>-16.80000000000291</v>
      </c>
    </row>
    <row r="363" spans="1:19" x14ac:dyDescent="0.3">
      <c r="A363" s="20">
        <v>362</v>
      </c>
      <c r="B363" t="s">
        <v>452</v>
      </c>
      <c r="C363" t="s">
        <v>49</v>
      </c>
      <c r="D363" t="s">
        <v>18</v>
      </c>
      <c r="E363" t="s">
        <v>19</v>
      </c>
      <c r="F363" t="s">
        <v>46</v>
      </c>
      <c r="G363" t="s">
        <v>23</v>
      </c>
      <c r="H363">
        <v>2000</v>
      </c>
      <c r="I363">
        <v>16271.6</v>
      </c>
      <c r="J363">
        <v>7125.4</v>
      </c>
      <c r="K363" s="1">
        <v>0.43790000000000001</v>
      </c>
      <c r="L363">
        <v>9125</v>
      </c>
      <c r="M363" s="1">
        <v>0.56079999999999997</v>
      </c>
      <c r="N363">
        <v>11023</v>
      </c>
      <c r="O363" s="1">
        <v>0.6774</v>
      </c>
      <c r="P363">
        <v>5248.6</v>
      </c>
      <c r="Q363" s="1">
        <v>0.3226</v>
      </c>
      <c r="R36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63" s="2">
        <f>Tabela_base[[#This Row],[Total Streams (in millions)]]-(Tabela_base[[#This Row],[Lead Streams (in millions)]]+Tabela_base[[#This Row],[Feature Streams (in millions)]])</f>
        <v>21.200000000000728</v>
      </c>
    </row>
    <row r="364" spans="1:19" x14ac:dyDescent="0.3">
      <c r="A364" s="20">
        <v>363</v>
      </c>
      <c r="B364" t="s">
        <v>453</v>
      </c>
      <c r="C364" t="s">
        <v>17</v>
      </c>
      <c r="D364" t="s">
        <v>18</v>
      </c>
      <c r="E364" t="s">
        <v>19</v>
      </c>
      <c r="F364" t="s">
        <v>29</v>
      </c>
      <c r="G364" t="s">
        <v>21</v>
      </c>
      <c r="H364">
        <v>2005</v>
      </c>
      <c r="I364">
        <v>14402.3</v>
      </c>
      <c r="J364">
        <v>4417.2</v>
      </c>
      <c r="K364" s="1">
        <v>0.30669999999999997</v>
      </c>
      <c r="L364">
        <v>9988.5</v>
      </c>
      <c r="M364" s="1">
        <v>0.69350000000000001</v>
      </c>
      <c r="N364">
        <v>13038</v>
      </c>
      <c r="O364" s="1">
        <v>0.90529999999999999</v>
      </c>
      <c r="P364">
        <v>1364.3</v>
      </c>
      <c r="Q364" s="1">
        <v>9.4700000000000006E-2</v>
      </c>
      <c r="R36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64" s="2">
        <f>Tabela_base[[#This Row],[Total Streams (in millions)]]-(Tabela_base[[#This Row],[Lead Streams (in millions)]]+Tabela_base[[#This Row],[Feature Streams (in millions)]])</f>
        <v>-3.4000000000014552</v>
      </c>
    </row>
    <row r="365" spans="1:19" x14ac:dyDescent="0.3">
      <c r="A365" s="20">
        <v>364</v>
      </c>
      <c r="B365" t="s">
        <v>454</v>
      </c>
      <c r="C365" t="s">
        <v>44</v>
      </c>
      <c r="D365" t="s">
        <v>18</v>
      </c>
      <c r="E365" t="s">
        <v>19</v>
      </c>
      <c r="F365" t="s">
        <v>29</v>
      </c>
      <c r="G365" t="s">
        <v>21</v>
      </c>
      <c r="H365">
        <v>2005</v>
      </c>
      <c r="I365">
        <v>11480.4</v>
      </c>
      <c r="J365">
        <v>8241.1</v>
      </c>
      <c r="K365" s="1">
        <v>0.71779999999999999</v>
      </c>
      <c r="L365">
        <v>3243.6</v>
      </c>
      <c r="M365" s="1">
        <v>0.28249999999999997</v>
      </c>
      <c r="N365">
        <v>11420.3</v>
      </c>
      <c r="O365" s="1">
        <v>0.99480000000000002</v>
      </c>
      <c r="P365">
        <v>60.1</v>
      </c>
      <c r="Q365" s="1">
        <v>5.1999999999999998E-3</v>
      </c>
      <c r="R36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65" s="2">
        <f>Tabela_base[[#This Row],[Total Streams (in millions)]]-(Tabela_base[[#This Row],[Lead Streams (in millions)]]+Tabela_base[[#This Row],[Feature Streams (in millions)]])</f>
        <v>-4.3000000000010914</v>
      </c>
    </row>
    <row r="366" spans="1:19" x14ac:dyDescent="0.3">
      <c r="A366" s="20">
        <v>365</v>
      </c>
      <c r="B366" t="s">
        <v>455</v>
      </c>
      <c r="C366" t="s">
        <v>17</v>
      </c>
      <c r="D366" t="s">
        <v>62</v>
      </c>
      <c r="E366" t="s">
        <v>19</v>
      </c>
      <c r="F366" t="s">
        <v>33</v>
      </c>
      <c r="G366" t="s">
        <v>23</v>
      </c>
      <c r="H366">
        <v>2013</v>
      </c>
      <c r="I366">
        <v>14506.3</v>
      </c>
      <c r="J366">
        <v>13237.2</v>
      </c>
      <c r="K366" s="1">
        <v>0.91249999999999998</v>
      </c>
      <c r="L366">
        <v>1275</v>
      </c>
      <c r="M366" s="1">
        <v>8.7900000000000006E-2</v>
      </c>
      <c r="N366">
        <v>7177.2</v>
      </c>
      <c r="O366" s="1">
        <v>0.49480000000000002</v>
      </c>
      <c r="P366">
        <v>7329.1</v>
      </c>
      <c r="Q366" s="1">
        <v>0.50519999999999998</v>
      </c>
      <c r="R36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66" s="2">
        <f>Tabela_base[[#This Row],[Total Streams (in millions)]]-(Tabela_base[[#This Row],[Lead Streams (in millions)]]+Tabela_base[[#This Row],[Feature Streams (in millions)]])</f>
        <v>-5.9000000000014552</v>
      </c>
    </row>
    <row r="367" spans="1:19" x14ac:dyDescent="0.3">
      <c r="A367" s="20">
        <v>366</v>
      </c>
      <c r="B367" t="s">
        <v>456</v>
      </c>
      <c r="C367" t="s">
        <v>17</v>
      </c>
      <c r="D367" t="s">
        <v>120</v>
      </c>
      <c r="E367" t="s">
        <v>41</v>
      </c>
      <c r="F367" t="s">
        <v>20</v>
      </c>
      <c r="G367" t="s">
        <v>23</v>
      </c>
      <c r="H367">
        <v>2017</v>
      </c>
      <c r="I367">
        <v>10160.5</v>
      </c>
      <c r="J367">
        <v>8082</v>
      </c>
      <c r="K367" s="1">
        <v>0.7954</v>
      </c>
      <c r="L367">
        <v>2081.6999999999998</v>
      </c>
      <c r="M367" s="1">
        <v>0.2049</v>
      </c>
      <c r="N367">
        <v>6415.1</v>
      </c>
      <c r="O367" s="1">
        <v>0.63139999999999996</v>
      </c>
      <c r="P367">
        <v>3745.4</v>
      </c>
      <c r="Q367" s="1">
        <v>0.36859999999999998</v>
      </c>
      <c r="R36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67" s="2">
        <f>Tabela_base[[#This Row],[Total Streams (in millions)]]-(Tabela_base[[#This Row],[Lead Streams (in millions)]]+Tabela_base[[#This Row],[Feature Streams (in millions)]])</f>
        <v>-3.2000000000007276</v>
      </c>
    </row>
    <row r="368" spans="1:19" x14ac:dyDescent="0.3">
      <c r="A368" s="20">
        <v>367</v>
      </c>
      <c r="B368" t="s">
        <v>457</v>
      </c>
      <c r="C368" t="s">
        <v>17</v>
      </c>
      <c r="D368" t="s">
        <v>18</v>
      </c>
      <c r="E368" t="s">
        <v>19</v>
      </c>
      <c r="F368" t="s">
        <v>29</v>
      </c>
      <c r="G368" t="s">
        <v>21</v>
      </c>
      <c r="H368">
        <v>1991</v>
      </c>
      <c r="I368">
        <v>7673.1</v>
      </c>
      <c r="J368">
        <v>7673.1</v>
      </c>
      <c r="K368" s="1">
        <v>1</v>
      </c>
      <c r="L368">
        <v>0</v>
      </c>
      <c r="M368" s="1">
        <v>0</v>
      </c>
      <c r="N368">
        <v>7659.2</v>
      </c>
      <c r="O368" s="1">
        <v>0.99819999999999998</v>
      </c>
      <c r="P368">
        <v>13.9</v>
      </c>
      <c r="Q368" s="1">
        <v>1.8E-3</v>
      </c>
      <c r="R36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68" s="2">
        <f>Tabela_base[[#This Row],[Total Streams (in millions)]]-(Tabela_base[[#This Row],[Lead Streams (in millions)]]+Tabela_base[[#This Row],[Feature Streams (in millions)]])</f>
        <v>0</v>
      </c>
    </row>
    <row r="369" spans="1:19" x14ac:dyDescent="0.3">
      <c r="A369" s="20">
        <v>368</v>
      </c>
      <c r="B369" t="s">
        <v>458</v>
      </c>
      <c r="C369" t="s">
        <v>17</v>
      </c>
      <c r="D369" t="s">
        <v>57</v>
      </c>
      <c r="E369" t="s">
        <v>41</v>
      </c>
      <c r="F369" t="s">
        <v>65</v>
      </c>
      <c r="G369" t="s">
        <v>23</v>
      </c>
      <c r="H369">
        <v>2020</v>
      </c>
      <c r="I369">
        <v>33179.800000000003</v>
      </c>
      <c r="J369">
        <v>18699.099999999999</v>
      </c>
      <c r="K369" s="1">
        <v>0.56359999999999999</v>
      </c>
      <c r="L369">
        <v>14501.2</v>
      </c>
      <c r="M369" s="1">
        <v>0.437</v>
      </c>
      <c r="N369">
        <v>3938.3</v>
      </c>
      <c r="O369" s="1">
        <v>0.1187</v>
      </c>
      <c r="P369">
        <v>29241.5</v>
      </c>
      <c r="Q369" s="1">
        <v>0.88129999999999997</v>
      </c>
      <c r="R36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69" s="2">
        <f>Tabela_base[[#This Row],[Total Streams (in millions)]]-(Tabela_base[[#This Row],[Lead Streams (in millions)]]+Tabela_base[[#This Row],[Feature Streams (in millions)]])</f>
        <v>-20.5</v>
      </c>
    </row>
    <row r="370" spans="1:19" x14ac:dyDescent="0.3">
      <c r="A370" s="20">
        <v>369</v>
      </c>
      <c r="B370" t="s">
        <v>459</v>
      </c>
      <c r="C370" t="s">
        <v>17</v>
      </c>
      <c r="D370" t="s">
        <v>18</v>
      </c>
      <c r="E370" t="s">
        <v>19</v>
      </c>
      <c r="F370" t="s">
        <v>20</v>
      </c>
      <c r="G370" t="s">
        <v>23</v>
      </c>
      <c r="H370">
        <v>2006</v>
      </c>
      <c r="I370">
        <v>15952.2</v>
      </c>
      <c r="J370">
        <v>4000.7</v>
      </c>
      <c r="K370" s="1">
        <v>0.25080000000000002</v>
      </c>
      <c r="L370">
        <v>11957.2</v>
      </c>
      <c r="M370" s="1">
        <v>0.74960000000000004</v>
      </c>
      <c r="N370">
        <v>2951.3</v>
      </c>
      <c r="O370" s="1">
        <v>0.185</v>
      </c>
      <c r="P370">
        <v>13000.9</v>
      </c>
      <c r="Q370" s="1">
        <v>0.81499999999999995</v>
      </c>
      <c r="R37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70" s="2">
        <f>Tabela_base[[#This Row],[Total Streams (in millions)]]-(Tabela_base[[#This Row],[Lead Streams (in millions)]]+Tabela_base[[#This Row],[Feature Streams (in millions)]])</f>
        <v>-5.7000000000007276</v>
      </c>
    </row>
    <row r="371" spans="1:19" x14ac:dyDescent="0.3">
      <c r="A371" s="20">
        <v>370</v>
      </c>
      <c r="B371" t="s">
        <v>460</v>
      </c>
      <c r="C371" t="s">
        <v>17</v>
      </c>
      <c r="D371" t="s">
        <v>25</v>
      </c>
      <c r="E371" t="s">
        <v>19</v>
      </c>
      <c r="F371" t="s">
        <v>46</v>
      </c>
      <c r="G371" t="s">
        <v>23</v>
      </c>
      <c r="H371">
        <v>1981</v>
      </c>
      <c r="I371">
        <v>7940.4</v>
      </c>
      <c r="J371">
        <v>7942.6</v>
      </c>
      <c r="K371" s="1">
        <v>1.0003</v>
      </c>
      <c r="L371">
        <v>0</v>
      </c>
      <c r="M371" s="1">
        <v>0</v>
      </c>
      <c r="N371">
        <v>7116.9</v>
      </c>
      <c r="O371" s="1">
        <v>0.89629999999999999</v>
      </c>
      <c r="P371">
        <v>823.5</v>
      </c>
      <c r="Q371" s="1">
        <v>0.1037</v>
      </c>
      <c r="R37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371" s="2">
        <f>Tabela_base[[#This Row],[Total Streams (in millions)]]-(Tabela_base[[#This Row],[Lead Streams (in millions)]]+Tabela_base[[#This Row],[Feature Streams (in millions)]])</f>
        <v>-2.2000000000007276</v>
      </c>
    </row>
    <row r="372" spans="1:19" x14ac:dyDescent="0.3">
      <c r="A372" s="20">
        <v>371</v>
      </c>
      <c r="B372" t="s">
        <v>461</v>
      </c>
      <c r="C372" t="s">
        <v>17</v>
      </c>
      <c r="D372" t="s">
        <v>25</v>
      </c>
      <c r="E372" t="s">
        <v>19</v>
      </c>
      <c r="F372" t="s">
        <v>29</v>
      </c>
      <c r="G372" t="s">
        <v>21</v>
      </c>
      <c r="H372">
        <v>1967</v>
      </c>
      <c r="I372">
        <v>13404.2</v>
      </c>
      <c r="J372">
        <v>11623.7</v>
      </c>
      <c r="K372" s="1">
        <v>0.86719999999999997</v>
      </c>
      <c r="L372">
        <v>1790.5</v>
      </c>
      <c r="M372" s="1">
        <v>0.1336</v>
      </c>
      <c r="N372">
        <v>13400.7</v>
      </c>
      <c r="O372" s="1">
        <v>0.99970000000000003</v>
      </c>
      <c r="P372">
        <v>3.5</v>
      </c>
      <c r="Q372" s="1">
        <v>2.9999999999999997E-4</v>
      </c>
      <c r="R37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72" s="2">
        <f>Tabela_base[[#This Row],[Total Streams (in millions)]]-(Tabela_base[[#This Row],[Lead Streams (in millions)]]+Tabela_base[[#This Row],[Feature Streams (in millions)]])</f>
        <v>-10</v>
      </c>
    </row>
    <row r="373" spans="1:19" x14ac:dyDescent="0.3">
      <c r="A373" s="20">
        <v>372</v>
      </c>
      <c r="B373" t="s">
        <v>462</v>
      </c>
      <c r="C373" t="s">
        <v>17</v>
      </c>
      <c r="D373" t="s">
        <v>103</v>
      </c>
      <c r="E373" t="s">
        <v>41</v>
      </c>
      <c r="F373" t="s">
        <v>58</v>
      </c>
      <c r="G373" t="s">
        <v>21</v>
      </c>
      <c r="H373">
        <v>2012</v>
      </c>
      <c r="I373">
        <v>8164.9</v>
      </c>
      <c r="J373">
        <v>7391.5</v>
      </c>
      <c r="K373" s="1">
        <v>0.90529999999999999</v>
      </c>
      <c r="L373">
        <v>775.8</v>
      </c>
      <c r="M373" s="1">
        <v>9.5000000000000001E-2</v>
      </c>
      <c r="N373">
        <v>1621.1</v>
      </c>
      <c r="O373" s="1">
        <v>0.19850000000000001</v>
      </c>
      <c r="P373">
        <v>6543.8</v>
      </c>
      <c r="Q373" s="1">
        <v>0.80149999999999999</v>
      </c>
      <c r="R37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73" s="2">
        <f>Tabela_base[[#This Row],[Total Streams (in millions)]]-(Tabela_base[[#This Row],[Lead Streams (in millions)]]+Tabela_base[[#This Row],[Feature Streams (in millions)]])</f>
        <v>-2.4000000000005457</v>
      </c>
    </row>
    <row r="374" spans="1:19" x14ac:dyDescent="0.3">
      <c r="A374" s="20">
        <v>373</v>
      </c>
      <c r="B374" t="s">
        <v>463</v>
      </c>
      <c r="C374" t="s">
        <v>17</v>
      </c>
      <c r="D374" t="s">
        <v>18</v>
      </c>
      <c r="E374" t="s">
        <v>19</v>
      </c>
      <c r="F374" t="s">
        <v>46</v>
      </c>
      <c r="G374" t="s">
        <v>23</v>
      </c>
      <c r="H374">
        <v>2004</v>
      </c>
      <c r="I374">
        <v>25875.8</v>
      </c>
      <c r="J374">
        <v>18250.900000000001</v>
      </c>
      <c r="K374" s="1">
        <v>0.70530000000000004</v>
      </c>
      <c r="L374">
        <v>7641</v>
      </c>
      <c r="M374" s="1">
        <v>0.29530000000000001</v>
      </c>
      <c r="N374">
        <v>2321.6999999999998</v>
      </c>
      <c r="O374" s="1">
        <v>8.9700000000000002E-2</v>
      </c>
      <c r="P374">
        <v>23554.1</v>
      </c>
      <c r="Q374" s="1">
        <v>0.9103</v>
      </c>
      <c r="R37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74" s="2">
        <f>Tabela_base[[#This Row],[Total Streams (in millions)]]-(Tabela_base[[#This Row],[Lead Streams (in millions)]]+Tabela_base[[#This Row],[Feature Streams (in millions)]])</f>
        <v>-16.100000000002183</v>
      </c>
    </row>
    <row r="375" spans="1:19" x14ac:dyDescent="0.3">
      <c r="A375" s="20">
        <v>374</v>
      </c>
      <c r="B375" t="s">
        <v>464</v>
      </c>
      <c r="C375" t="s">
        <v>17</v>
      </c>
      <c r="D375" t="s">
        <v>25</v>
      </c>
      <c r="E375" t="s">
        <v>19</v>
      </c>
      <c r="F375" t="s">
        <v>20</v>
      </c>
      <c r="G375" t="s">
        <v>23</v>
      </c>
      <c r="H375">
        <v>2006</v>
      </c>
      <c r="I375">
        <v>10449</v>
      </c>
      <c r="J375">
        <v>7062.7</v>
      </c>
      <c r="K375" s="1">
        <v>0.67589999999999995</v>
      </c>
      <c r="L375">
        <v>3394.7</v>
      </c>
      <c r="M375" s="1">
        <v>0.32490000000000002</v>
      </c>
      <c r="N375">
        <v>6337.8</v>
      </c>
      <c r="O375" s="1">
        <v>0.60650000000000004</v>
      </c>
      <c r="P375">
        <v>4111.2</v>
      </c>
      <c r="Q375" s="1">
        <v>0.39350000000000002</v>
      </c>
      <c r="R37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75" s="2">
        <f>Tabela_base[[#This Row],[Total Streams (in millions)]]-(Tabela_base[[#This Row],[Lead Streams (in millions)]]+Tabela_base[[#This Row],[Feature Streams (in millions)]])</f>
        <v>-8.3999999999996362</v>
      </c>
    </row>
    <row r="376" spans="1:19" x14ac:dyDescent="0.3">
      <c r="A376" s="20">
        <v>375</v>
      </c>
      <c r="B376" t="s">
        <v>465</v>
      </c>
      <c r="C376" t="s">
        <v>17</v>
      </c>
      <c r="D376" t="s">
        <v>18</v>
      </c>
      <c r="E376" t="s">
        <v>19</v>
      </c>
      <c r="F376" t="s">
        <v>20</v>
      </c>
      <c r="G376" t="s">
        <v>23</v>
      </c>
      <c r="H376">
        <v>2011</v>
      </c>
      <c r="I376">
        <v>25818.400000000001</v>
      </c>
      <c r="J376">
        <v>15382.2</v>
      </c>
      <c r="K376" s="1">
        <v>0.5958</v>
      </c>
      <c r="L376">
        <v>10446.9</v>
      </c>
      <c r="M376" s="1">
        <v>0.40460000000000002</v>
      </c>
      <c r="N376">
        <v>10109.799999999999</v>
      </c>
      <c r="O376" s="1">
        <v>0.3916</v>
      </c>
      <c r="P376">
        <v>15708.6</v>
      </c>
      <c r="Q376" s="1">
        <v>0.60840000000000005</v>
      </c>
      <c r="R37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76" s="2">
        <f>Tabela_base[[#This Row],[Total Streams (in millions)]]-(Tabela_base[[#This Row],[Lead Streams (in millions)]]+Tabela_base[[#This Row],[Feature Streams (in millions)]])</f>
        <v>-10.69999999999709</v>
      </c>
    </row>
    <row r="377" spans="1:19" x14ac:dyDescent="0.3">
      <c r="A377" s="20">
        <v>376</v>
      </c>
      <c r="B377" t="s">
        <v>466</v>
      </c>
      <c r="C377" t="s">
        <v>17</v>
      </c>
      <c r="D377" t="s">
        <v>18</v>
      </c>
      <c r="E377" t="s">
        <v>19</v>
      </c>
      <c r="F377" t="s">
        <v>20</v>
      </c>
      <c r="G377" t="s">
        <v>23</v>
      </c>
      <c r="H377">
        <v>2017</v>
      </c>
      <c r="I377">
        <v>15252.2</v>
      </c>
      <c r="J377">
        <v>13192.5</v>
      </c>
      <c r="K377" s="1">
        <v>0.86499999999999999</v>
      </c>
      <c r="L377">
        <v>2067.1</v>
      </c>
      <c r="M377" s="1">
        <v>0.13550000000000001</v>
      </c>
      <c r="N377">
        <v>7139.4</v>
      </c>
      <c r="O377" s="1">
        <v>0.46810000000000002</v>
      </c>
      <c r="P377">
        <v>8112.8</v>
      </c>
      <c r="Q377" s="1">
        <v>0.53190000000000004</v>
      </c>
      <c r="R37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77" s="2">
        <f>Tabela_base[[#This Row],[Total Streams (in millions)]]-(Tabela_base[[#This Row],[Lead Streams (in millions)]]+Tabela_base[[#This Row],[Feature Streams (in millions)]])</f>
        <v>-7.3999999999996362</v>
      </c>
    </row>
    <row r="378" spans="1:19" x14ac:dyDescent="0.3">
      <c r="A378" s="20">
        <v>377</v>
      </c>
      <c r="B378" t="s">
        <v>467</v>
      </c>
      <c r="C378" t="s">
        <v>17</v>
      </c>
      <c r="D378" t="s">
        <v>18</v>
      </c>
      <c r="E378" t="s">
        <v>19</v>
      </c>
      <c r="F378" t="s">
        <v>20</v>
      </c>
      <c r="G378" t="s">
        <v>23</v>
      </c>
      <c r="H378">
        <v>2018</v>
      </c>
      <c r="I378">
        <v>16217.4</v>
      </c>
      <c r="J378">
        <v>14631.5</v>
      </c>
      <c r="K378" s="1">
        <v>0.9022</v>
      </c>
      <c r="L378">
        <v>1588.4</v>
      </c>
      <c r="M378" s="1">
        <v>9.7900000000000001E-2</v>
      </c>
      <c r="N378">
        <v>7841.6</v>
      </c>
      <c r="O378" s="1">
        <v>0.48349999999999999</v>
      </c>
      <c r="P378">
        <v>8375.7999999999993</v>
      </c>
      <c r="Q378" s="1">
        <v>0.51649999999999996</v>
      </c>
      <c r="R37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78" s="2">
        <f>Tabela_base[[#This Row],[Total Streams (in millions)]]-(Tabela_base[[#This Row],[Lead Streams (in millions)]]+Tabela_base[[#This Row],[Feature Streams (in millions)]])</f>
        <v>-2.5</v>
      </c>
    </row>
    <row r="379" spans="1:19" x14ac:dyDescent="0.3">
      <c r="A379" s="20">
        <v>378</v>
      </c>
      <c r="B379" t="s">
        <v>468</v>
      </c>
      <c r="C379" t="s">
        <v>17</v>
      </c>
      <c r="D379" t="s">
        <v>18</v>
      </c>
      <c r="E379" t="s">
        <v>19</v>
      </c>
      <c r="F379" t="s">
        <v>46</v>
      </c>
      <c r="G379" t="s">
        <v>23</v>
      </c>
      <c r="H379">
        <v>2011</v>
      </c>
      <c r="I379">
        <v>55028.3</v>
      </c>
      <c r="J379">
        <v>48805.599999999999</v>
      </c>
      <c r="K379" s="1">
        <v>0.88690000000000002</v>
      </c>
      <c r="L379">
        <v>6235.6</v>
      </c>
      <c r="M379" s="1">
        <v>0.1133</v>
      </c>
      <c r="N379">
        <v>25419.4</v>
      </c>
      <c r="O379" s="1">
        <v>0.46189999999999998</v>
      </c>
      <c r="P379">
        <v>29608.9</v>
      </c>
      <c r="Q379" s="1">
        <v>0.53810000000000002</v>
      </c>
      <c r="R37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79" s="2">
        <f>Tabela_base[[#This Row],[Total Streams (in millions)]]-(Tabela_base[[#This Row],[Lead Streams (in millions)]]+Tabela_base[[#This Row],[Feature Streams (in millions)]])</f>
        <v>-12.899999999994179</v>
      </c>
    </row>
    <row r="380" spans="1:19" x14ac:dyDescent="0.3">
      <c r="A380" s="20">
        <v>379</v>
      </c>
      <c r="B380" t="s">
        <v>469</v>
      </c>
      <c r="C380" t="s">
        <v>17</v>
      </c>
      <c r="D380" t="s">
        <v>18</v>
      </c>
      <c r="E380" t="s">
        <v>41</v>
      </c>
      <c r="F380" t="s">
        <v>93</v>
      </c>
      <c r="G380" t="s">
        <v>23</v>
      </c>
      <c r="H380">
        <v>2010</v>
      </c>
      <c r="I380">
        <v>9495.2000000000007</v>
      </c>
      <c r="J380">
        <v>6483.6</v>
      </c>
      <c r="K380" s="1">
        <v>0.68279999999999996</v>
      </c>
      <c r="L380">
        <v>3011.7</v>
      </c>
      <c r="M380" s="1">
        <v>0.31719999999999998</v>
      </c>
      <c r="N380">
        <v>4320.3999999999996</v>
      </c>
      <c r="O380" s="1">
        <v>0.45500000000000002</v>
      </c>
      <c r="P380">
        <v>5174.8</v>
      </c>
      <c r="Q380" s="1">
        <v>0.54500000000000004</v>
      </c>
      <c r="R38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80" s="2">
        <f>Tabela_base[[#This Row],[Total Streams (in millions)]]-(Tabela_base[[#This Row],[Lead Streams (in millions)]]+Tabela_base[[#This Row],[Feature Streams (in millions)]])</f>
        <v>-9.9999999998544808E-2</v>
      </c>
    </row>
    <row r="381" spans="1:19" x14ac:dyDescent="0.3">
      <c r="A381" s="20">
        <v>380</v>
      </c>
      <c r="B381" t="s">
        <v>470</v>
      </c>
      <c r="C381" t="s">
        <v>17</v>
      </c>
      <c r="D381" t="s">
        <v>37</v>
      </c>
      <c r="E381" t="s">
        <v>68</v>
      </c>
      <c r="F381" t="s">
        <v>46</v>
      </c>
      <c r="G381" t="s">
        <v>23</v>
      </c>
      <c r="H381">
        <v>2001</v>
      </c>
      <c r="I381">
        <v>28543.9</v>
      </c>
      <c r="J381">
        <v>25181.4</v>
      </c>
      <c r="K381" s="1">
        <v>0.88219999999999998</v>
      </c>
      <c r="L381">
        <v>3362.5</v>
      </c>
      <c r="M381" s="1">
        <v>0.1178</v>
      </c>
      <c r="N381">
        <v>11.7</v>
      </c>
      <c r="O381" s="1">
        <v>4.0000000000000002E-4</v>
      </c>
      <c r="P381">
        <v>28532.2</v>
      </c>
      <c r="Q381" s="1">
        <v>0.99960000000000004</v>
      </c>
      <c r="R38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81" s="2">
        <f>Tabela_base[[#This Row],[Total Streams (in millions)]]-(Tabela_base[[#This Row],[Lead Streams (in millions)]]+Tabela_base[[#This Row],[Feature Streams (in millions)]])</f>
        <v>0</v>
      </c>
    </row>
    <row r="382" spans="1:19" x14ac:dyDescent="0.3">
      <c r="A382" s="20">
        <v>381</v>
      </c>
      <c r="B382" t="s">
        <v>471</v>
      </c>
      <c r="C382" t="s">
        <v>17</v>
      </c>
      <c r="D382" t="s">
        <v>18</v>
      </c>
      <c r="E382" t="s">
        <v>19</v>
      </c>
      <c r="F382" t="s">
        <v>20</v>
      </c>
      <c r="G382" t="s">
        <v>23</v>
      </c>
      <c r="H382">
        <v>2008</v>
      </c>
      <c r="I382">
        <v>19383.5</v>
      </c>
      <c r="J382">
        <v>2977.3</v>
      </c>
      <c r="K382" s="1">
        <v>0.15359999999999999</v>
      </c>
      <c r="L382">
        <v>16406.099999999999</v>
      </c>
      <c r="M382" s="1">
        <v>0.84640000000000004</v>
      </c>
      <c r="N382">
        <v>809.7</v>
      </c>
      <c r="O382" s="1">
        <v>4.1799999999999997E-2</v>
      </c>
      <c r="P382">
        <v>18573.8</v>
      </c>
      <c r="Q382" s="1">
        <v>0.95820000000000005</v>
      </c>
      <c r="R38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82" s="2">
        <f>Tabela_base[[#This Row],[Total Streams (in millions)]]-(Tabela_base[[#This Row],[Lead Streams (in millions)]]+Tabela_base[[#This Row],[Feature Streams (in millions)]])</f>
        <v>0.10000000000218279</v>
      </c>
    </row>
    <row r="383" spans="1:19" x14ac:dyDescent="0.3">
      <c r="A383" s="20">
        <v>382</v>
      </c>
      <c r="B383" t="s">
        <v>472</v>
      </c>
      <c r="C383" t="s">
        <v>17</v>
      </c>
      <c r="D383" t="s">
        <v>25</v>
      </c>
      <c r="E383" t="s">
        <v>19</v>
      </c>
      <c r="F383" t="s">
        <v>29</v>
      </c>
      <c r="G383" t="s">
        <v>21</v>
      </c>
      <c r="H383">
        <v>1973</v>
      </c>
      <c r="I383">
        <v>29370</v>
      </c>
      <c r="J383">
        <v>29307.599999999999</v>
      </c>
      <c r="K383" s="1">
        <v>0.99790000000000001</v>
      </c>
      <c r="L383">
        <v>70.8</v>
      </c>
      <c r="M383" s="1">
        <v>2.3999999999999998E-3</v>
      </c>
      <c r="N383">
        <v>26931.7</v>
      </c>
      <c r="O383" s="1">
        <v>0.91700000000000004</v>
      </c>
      <c r="P383">
        <v>2438.3000000000002</v>
      </c>
      <c r="Q383" s="1">
        <v>8.3000000000000004E-2</v>
      </c>
      <c r="R38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83" s="2">
        <f>Tabela_base[[#This Row],[Total Streams (in millions)]]-(Tabela_base[[#This Row],[Lead Streams (in millions)]]+Tabela_base[[#This Row],[Feature Streams (in millions)]])</f>
        <v>-8.3999999999978172</v>
      </c>
    </row>
    <row r="384" spans="1:19" x14ac:dyDescent="0.3">
      <c r="A384" s="20">
        <v>383</v>
      </c>
      <c r="B384" t="s">
        <v>473</v>
      </c>
      <c r="C384" t="s">
        <v>17</v>
      </c>
      <c r="D384" t="s">
        <v>60</v>
      </c>
      <c r="E384" t="s">
        <v>41</v>
      </c>
      <c r="F384" t="s">
        <v>42</v>
      </c>
      <c r="G384" t="s">
        <v>23</v>
      </c>
      <c r="H384">
        <v>2020</v>
      </c>
      <c r="I384">
        <v>14345.2</v>
      </c>
      <c r="J384">
        <v>7659.9</v>
      </c>
      <c r="K384" s="1">
        <v>0.53400000000000003</v>
      </c>
      <c r="L384">
        <v>6698.1</v>
      </c>
      <c r="M384" s="1">
        <v>0.46689999999999998</v>
      </c>
      <c r="N384">
        <v>4914.8999999999996</v>
      </c>
      <c r="O384" s="1">
        <v>0.34260000000000002</v>
      </c>
      <c r="P384">
        <v>9430.2999999999993</v>
      </c>
      <c r="Q384" s="1">
        <v>0.65739999999999998</v>
      </c>
      <c r="R38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84" s="2">
        <f>Tabela_base[[#This Row],[Total Streams (in millions)]]-(Tabela_base[[#This Row],[Lead Streams (in millions)]]+Tabela_base[[#This Row],[Feature Streams (in millions)]])</f>
        <v>-12.799999999999272</v>
      </c>
    </row>
    <row r="385" spans="1:19" x14ac:dyDescent="0.3">
      <c r="A385" s="20">
        <v>384</v>
      </c>
      <c r="B385" t="s">
        <v>474</v>
      </c>
      <c r="C385" t="s">
        <v>17</v>
      </c>
      <c r="D385" t="s">
        <v>25</v>
      </c>
      <c r="E385" t="s">
        <v>19</v>
      </c>
      <c r="F385" t="s">
        <v>29</v>
      </c>
      <c r="G385" t="s">
        <v>21</v>
      </c>
      <c r="H385">
        <v>1992</v>
      </c>
      <c r="I385">
        <v>16454.900000000001</v>
      </c>
      <c r="J385">
        <v>16461.5</v>
      </c>
      <c r="K385" s="1">
        <v>1.0004</v>
      </c>
      <c r="L385">
        <v>3</v>
      </c>
      <c r="M385" s="1">
        <v>2.0000000000000001E-4</v>
      </c>
      <c r="N385">
        <v>16382.5</v>
      </c>
      <c r="O385" s="1">
        <v>0.99560000000000004</v>
      </c>
      <c r="P385">
        <v>72.400000000000006</v>
      </c>
      <c r="Q385" s="1">
        <v>4.4000000000000003E-3</v>
      </c>
      <c r="R38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385" s="2">
        <f>Tabela_base[[#This Row],[Total Streams (in millions)]]-(Tabela_base[[#This Row],[Lead Streams (in millions)]]+Tabela_base[[#This Row],[Feature Streams (in millions)]])</f>
        <v>-9.5999999999985448</v>
      </c>
    </row>
    <row r="386" spans="1:19" x14ac:dyDescent="0.3">
      <c r="A386" s="20">
        <v>385</v>
      </c>
      <c r="B386" t="s">
        <v>475</v>
      </c>
      <c r="C386" t="s">
        <v>17</v>
      </c>
      <c r="D386" t="s">
        <v>18</v>
      </c>
      <c r="E386" t="s">
        <v>19</v>
      </c>
      <c r="F386" t="s">
        <v>20</v>
      </c>
      <c r="G386" t="s">
        <v>21</v>
      </c>
      <c r="H386">
        <v>2013</v>
      </c>
      <c r="I386">
        <v>8030.3</v>
      </c>
      <c r="J386">
        <v>7270.4</v>
      </c>
      <c r="K386" s="1">
        <v>0.90539999999999998</v>
      </c>
      <c r="L386">
        <v>754.2</v>
      </c>
      <c r="M386" s="1">
        <v>9.3899999999999997E-2</v>
      </c>
      <c r="N386">
        <v>4098.3999999999996</v>
      </c>
      <c r="O386" s="1">
        <v>0.51039999999999996</v>
      </c>
      <c r="P386">
        <v>3931.9</v>
      </c>
      <c r="Q386" s="1">
        <v>0.48959999999999998</v>
      </c>
      <c r="R38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86" s="2">
        <f>Tabela_base[[#This Row],[Total Streams (in millions)]]-(Tabela_base[[#This Row],[Lead Streams (in millions)]]+Tabela_base[[#This Row],[Feature Streams (in millions)]])</f>
        <v>5.7000000000007276</v>
      </c>
    </row>
    <row r="387" spans="1:19" x14ac:dyDescent="0.3">
      <c r="A387" s="20">
        <v>386</v>
      </c>
      <c r="B387" t="s">
        <v>476</v>
      </c>
      <c r="C387" t="s">
        <v>17</v>
      </c>
      <c r="D387" t="s">
        <v>477</v>
      </c>
      <c r="E387" t="s">
        <v>114</v>
      </c>
      <c r="F387" t="s">
        <v>20</v>
      </c>
      <c r="G387" t="s">
        <v>23</v>
      </c>
      <c r="H387">
        <v>2006</v>
      </c>
      <c r="I387">
        <v>7738.2</v>
      </c>
      <c r="J387">
        <v>3470.6</v>
      </c>
      <c r="K387" s="1">
        <v>0.44850000000000001</v>
      </c>
      <c r="L387">
        <v>4267.7</v>
      </c>
      <c r="M387" s="1">
        <v>0.55149999999999999</v>
      </c>
      <c r="N387">
        <v>1580.4</v>
      </c>
      <c r="O387" s="1">
        <v>0.20419999999999999</v>
      </c>
      <c r="P387">
        <v>6157.8</v>
      </c>
      <c r="Q387" s="1">
        <v>0.79579999999999995</v>
      </c>
      <c r="R38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87" s="2">
        <f>Tabela_base[[#This Row],[Total Streams (in millions)]]-(Tabela_base[[#This Row],[Lead Streams (in millions)]]+Tabela_base[[#This Row],[Feature Streams (in millions)]])</f>
        <v>-9.9999999999454303E-2</v>
      </c>
    </row>
    <row r="388" spans="1:19" x14ac:dyDescent="0.3">
      <c r="A388" s="20">
        <v>387</v>
      </c>
      <c r="B388" t="s">
        <v>478</v>
      </c>
      <c r="C388" t="s">
        <v>17</v>
      </c>
      <c r="D388" t="s">
        <v>113</v>
      </c>
      <c r="E388" t="s">
        <v>114</v>
      </c>
      <c r="F388" t="s">
        <v>91</v>
      </c>
      <c r="G388" t="s">
        <v>21</v>
      </c>
      <c r="H388">
        <v>1995</v>
      </c>
      <c r="I388">
        <v>10902.6</v>
      </c>
      <c r="J388">
        <v>10910.3</v>
      </c>
      <c r="K388" s="1">
        <v>1.0006999999999999</v>
      </c>
      <c r="L388">
        <v>0</v>
      </c>
      <c r="M388" s="1">
        <v>0</v>
      </c>
      <c r="N388">
        <v>10773.4</v>
      </c>
      <c r="O388" s="1">
        <v>0.98809999999999998</v>
      </c>
      <c r="P388">
        <v>129.19999999999999</v>
      </c>
      <c r="Q388" s="1">
        <v>1.1900000000000001E-2</v>
      </c>
      <c r="R38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388" s="2">
        <f>Tabela_base[[#This Row],[Total Streams (in millions)]]-(Tabela_base[[#This Row],[Lead Streams (in millions)]]+Tabela_base[[#This Row],[Feature Streams (in millions)]])</f>
        <v>-7.6999999999989086</v>
      </c>
    </row>
    <row r="389" spans="1:19" x14ac:dyDescent="0.3">
      <c r="A389" s="20">
        <v>388</v>
      </c>
      <c r="B389" t="s">
        <v>479</v>
      </c>
      <c r="C389" t="s">
        <v>17</v>
      </c>
      <c r="D389" t="s">
        <v>18</v>
      </c>
      <c r="E389" t="s">
        <v>41</v>
      </c>
      <c r="F389" t="s">
        <v>42</v>
      </c>
      <c r="G389" t="s">
        <v>23</v>
      </c>
      <c r="H389">
        <v>2014</v>
      </c>
      <c r="I389">
        <v>40738.6</v>
      </c>
      <c r="J389">
        <v>24898</v>
      </c>
      <c r="K389" s="1">
        <v>0.61119999999999997</v>
      </c>
      <c r="L389">
        <v>15857.7</v>
      </c>
      <c r="M389" s="1">
        <v>0.38929999999999998</v>
      </c>
      <c r="N389">
        <v>10432.5</v>
      </c>
      <c r="O389" s="1">
        <v>0.25609999999999999</v>
      </c>
      <c r="P389">
        <v>30306.1</v>
      </c>
      <c r="Q389" s="1">
        <v>0.74390000000000001</v>
      </c>
      <c r="R38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89" s="2">
        <f>Tabela_base[[#This Row],[Total Streams (in millions)]]-(Tabela_base[[#This Row],[Lead Streams (in millions)]]+Tabela_base[[#This Row],[Feature Streams (in millions)]])</f>
        <v>-17.099999999998545</v>
      </c>
    </row>
    <row r="390" spans="1:19" x14ac:dyDescent="0.3">
      <c r="A390" s="20">
        <v>389</v>
      </c>
      <c r="B390" t="s">
        <v>480</v>
      </c>
      <c r="C390" t="s">
        <v>49</v>
      </c>
      <c r="D390" t="s">
        <v>25</v>
      </c>
      <c r="E390" t="s">
        <v>19</v>
      </c>
      <c r="F390" t="s">
        <v>46</v>
      </c>
      <c r="G390" t="s">
        <v>23</v>
      </c>
      <c r="H390">
        <v>2014</v>
      </c>
      <c r="I390">
        <v>9859.6</v>
      </c>
      <c r="J390">
        <v>4832.5</v>
      </c>
      <c r="K390" s="1">
        <v>0.49009999999999998</v>
      </c>
      <c r="L390">
        <v>5032.8999999999996</v>
      </c>
      <c r="M390" s="1">
        <v>0.51049999999999995</v>
      </c>
      <c r="N390">
        <v>2441.1</v>
      </c>
      <c r="O390" s="1">
        <v>0.24759999999999999</v>
      </c>
      <c r="P390">
        <v>7418.5</v>
      </c>
      <c r="Q390" s="1">
        <v>0.75239999999999996</v>
      </c>
      <c r="R39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90" s="2">
        <f>Tabela_base[[#This Row],[Total Streams (in millions)]]-(Tabela_base[[#This Row],[Lead Streams (in millions)]]+Tabela_base[[#This Row],[Feature Streams (in millions)]])</f>
        <v>-5.7999999999992724</v>
      </c>
    </row>
    <row r="391" spans="1:19" x14ac:dyDescent="0.3">
      <c r="A391" s="20">
        <v>390</v>
      </c>
      <c r="B391" t="s">
        <v>481</v>
      </c>
      <c r="C391" t="s">
        <v>44</v>
      </c>
      <c r="D391" t="s">
        <v>18</v>
      </c>
      <c r="E391" t="s">
        <v>19</v>
      </c>
      <c r="F391" t="s">
        <v>29</v>
      </c>
      <c r="G391" t="s">
        <v>21</v>
      </c>
      <c r="H391">
        <v>1984</v>
      </c>
      <c r="I391">
        <v>21873.8</v>
      </c>
      <c r="J391">
        <v>21884.2</v>
      </c>
      <c r="K391" s="1">
        <v>1.0004999999999999</v>
      </c>
      <c r="L391">
        <v>0</v>
      </c>
      <c r="M391" s="1">
        <v>0</v>
      </c>
      <c r="N391">
        <v>21872.400000000001</v>
      </c>
      <c r="O391" s="1">
        <v>0.99990000000000001</v>
      </c>
      <c r="P391">
        <v>1.4</v>
      </c>
      <c r="Q391" s="1">
        <v>1E-4</v>
      </c>
      <c r="R39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391" s="2">
        <f>Tabela_base[[#This Row],[Total Streams (in millions)]]-(Tabela_base[[#This Row],[Lead Streams (in millions)]]+Tabela_base[[#This Row],[Feature Streams (in millions)]])</f>
        <v>-10.400000000001455</v>
      </c>
    </row>
    <row r="392" spans="1:19" x14ac:dyDescent="0.3">
      <c r="A392" s="20">
        <v>391</v>
      </c>
      <c r="B392" t="s">
        <v>482</v>
      </c>
      <c r="C392" t="s">
        <v>17</v>
      </c>
      <c r="D392" t="s">
        <v>57</v>
      </c>
      <c r="E392" t="s">
        <v>41</v>
      </c>
      <c r="F392" t="s">
        <v>58</v>
      </c>
      <c r="G392" t="s">
        <v>21</v>
      </c>
      <c r="H392">
        <v>2005</v>
      </c>
      <c r="I392">
        <v>11853.7</v>
      </c>
      <c r="J392">
        <v>9900.6</v>
      </c>
      <c r="K392" s="1">
        <v>0.83520000000000005</v>
      </c>
      <c r="L392">
        <v>1953.1</v>
      </c>
      <c r="M392" s="1">
        <v>0.1648</v>
      </c>
      <c r="N392">
        <v>5248.7</v>
      </c>
      <c r="O392" s="1">
        <v>0.44280000000000003</v>
      </c>
      <c r="P392">
        <v>6605</v>
      </c>
      <c r="Q392" s="1">
        <v>0.55720000000000003</v>
      </c>
      <c r="R39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92" s="2">
        <f>Tabela_base[[#This Row],[Total Streams (in millions)]]-(Tabela_base[[#This Row],[Lead Streams (in millions)]]+Tabela_base[[#This Row],[Feature Streams (in millions)]])</f>
        <v>0</v>
      </c>
    </row>
    <row r="393" spans="1:19" x14ac:dyDescent="0.3">
      <c r="A393" s="20">
        <v>392</v>
      </c>
      <c r="B393" t="s">
        <v>483</v>
      </c>
      <c r="C393" t="s">
        <v>17</v>
      </c>
      <c r="D393" t="s">
        <v>60</v>
      </c>
      <c r="E393" t="s">
        <v>41</v>
      </c>
      <c r="F393" t="s">
        <v>20</v>
      </c>
      <c r="G393" t="s">
        <v>23</v>
      </c>
      <c r="H393">
        <v>2014</v>
      </c>
      <c r="I393">
        <v>13734.1</v>
      </c>
      <c r="J393">
        <v>11278.9</v>
      </c>
      <c r="K393" s="1">
        <v>0.82120000000000004</v>
      </c>
      <c r="L393">
        <v>2462</v>
      </c>
      <c r="M393" s="1">
        <v>0.17929999999999999</v>
      </c>
      <c r="N393">
        <v>8953.7000000000007</v>
      </c>
      <c r="O393" s="1">
        <v>0.65190000000000003</v>
      </c>
      <c r="P393">
        <v>4780.3999999999996</v>
      </c>
      <c r="Q393" s="1">
        <v>0.34810000000000002</v>
      </c>
      <c r="R39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93" s="2">
        <f>Tabela_base[[#This Row],[Total Streams (in millions)]]-(Tabela_base[[#This Row],[Lead Streams (in millions)]]+Tabela_base[[#This Row],[Feature Streams (in millions)]])</f>
        <v>-6.7999999999992724</v>
      </c>
    </row>
    <row r="394" spans="1:19" x14ac:dyDescent="0.3">
      <c r="A394" s="20">
        <v>393</v>
      </c>
      <c r="B394" t="s">
        <v>484</v>
      </c>
      <c r="C394" t="s">
        <v>17</v>
      </c>
      <c r="D394" t="s">
        <v>25</v>
      </c>
      <c r="E394" t="s">
        <v>19</v>
      </c>
      <c r="F394" t="s">
        <v>46</v>
      </c>
      <c r="G394" t="s">
        <v>23</v>
      </c>
      <c r="H394">
        <v>2015</v>
      </c>
      <c r="I394">
        <v>7824.1</v>
      </c>
      <c r="J394">
        <v>6895.6</v>
      </c>
      <c r="K394" s="1">
        <v>0.88129999999999997</v>
      </c>
      <c r="L394">
        <v>928.5</v>
      </c>
      <c r="M394" s="1">
        <v>0.1187</v>
      </c>
      <c r="N394">
        <v>6188.5</v>
      </c>
      <c r="O394" s="1">
        <v>0.79100000000000004</v>
      </c>
      <c r="P394">
        <v>1635.6</v>
      </c>
      <c r="Q394" s="1">
        <v>0.20899999999999999</v>
      </c>
      <c r="R39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94" s="2">
        <f>Tabela_base[[#This Row],[Total Streams (in millions)]]-(Tabela_base[[#This Row],[Lead Streams (in millions)]]+Tabela_base[[#This Row],[Feature Streams (in millions)]])</f>
        <v>0</v>
      </c>
    </row>
    <row r="395" spans="1:19" x14ac:dyDescent="0.3">
      <c r="A395" s="20">
        <v>394</v>
      </c>
      <c r="B395" t="s">
        <v>485</v>
      </c>
      <c r="C395" t="s">
        <v>17</v>
      </c>
      <c r="D395" t="s">
        <v>486</v>
      </c>
      <c r="E395" t="s">
        <v>41</v>
      </c>
      <c r="F395" t="s">
        <v>58</v>
      </c>
      <c r="G395" t="s">
        <v>23</v>
      </c>
      <c r="H395">
        <v>1985</v>
      </c>
      <c r="I395">
        <v>7852.2</v>
      </c>
      <c r="J395">
        <v>7854.4</v>
      </c>
      <c r="K395" s="1">
        <v>1.0003</v>
      </c>
      <c r="L395">
        <v>4</v>
      </c>
      <c r="M395" s="1">
        <v>5.0000000000000001E-4</v>
      </c>
      <c r="N395">
        <v>7062</v>
      </c>
      <c r="O395" s="1">
        <v>0.89939999999999998</v>
      </c>
      <c r="P395">
        <v>790.2</v>
      </c>
      <c r="Q395" s="1">
        <v>0.10059999999999999</v>
      </c>
      <c r="R39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395" s="2">
        <f>Tabela_base[[#This Row],[Total Streams (in millions)]]-(Tabela_base[[#This Row],[Lead Streams (in millions)]]+Tabela_base[[#This Row],[Feature Streams (in millions)]])</f>
        <v>-6.1999999999998181</v>
      </c>
    </row>
    <row r="396" spans="1:19" x14ac:dyDescent="0.3">
      <c r="A396" s="20">
        <v>395</v>
      </c>
      <c r="B396" t="s">
        <v>487</v>
      </c>
      <c r="C396" t="s">
        <v>17</v>
      </c>
      <c r="D396" t="s">
        <v>18</v>
      </c>
      <c r="E396" t="s">
        <v>19</v>
      </c>
      <c r="F396" t="s">
        <v>20</v>
      </c>
      <c r="G396" t="s">
        <v>23</v>
      </c>
      <c r="H396">
        <v>2006</v>
      </c>
      <c r="I396">
        <v>11575.2</v>
      </c>
      <c r="J396">
        <v>3209.4</v>
      </c>
      <c r="K396" s="1">
        <v>0.27729999999999999</v>
      </c>
      <c r="L396">
        <v>8365.7999999999993</v>
      </c>
      <c r="M396" s="1">
        <v>0.72270000000000001</v>
      </c>
      <c r="N396">
        <v>747.3</v>
      </c>
      <c r="O396" s="1">
        <v>6.4600000000000005E-2</v>
      </c>
      <c r="P396">
        <v>10827.9</v>
      </c>
      <c r="Q396" s="1">
        <v>0.93540000000000001</v>
      </c>
      <c r="R39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96" s="2">
        <f>Tabela_base[[#This Row],[Total Streams (in millions)]]-(Tabela_base[[#This Row],[Lead Streams (in millions)]]+Tabela_base[[#This Row],[Feature Streams (in millions)]])</f>
        <v>0</v>
      </c>
    </row>
    <row r="397" spans="1:19" x14ac:dyDescent="0.3">
      <c r="A397" s="20">
        <v>396</v>
      </c>
      <c r="B397" t="s">
        <v>488</v>
      </c>
      <c r="C397" t="s">
        <v>49</v>
      </c>
      <c r="D397" t="s">
        <v>489</v>
      </c>
      <c r="E397" t="s">
        <v>19</v>
      </c>
      <c r="F397" t="s">
        <v>46</v>
      </c>
      <c r="G397" t="s">
        <v>23</v>
      </c>
      <c r="H397">
        <v>2005</v>
      </c>
      <c r="I397">
        <v>60670.7</v>
      </c>
      <c r="J397">
        <v>44824.4</v>
      </c>
      <c r="K397" s="1">
        <v>0.73880000000000001</v>
      </c>
      <c r="L397">
        <v>15846.4</v>
      </c>
      <c r="M397" s="1">
        <v>0.26119999999999999</v>
      </c>
      <c r="N397">
        <v>30261.8</v>
      </c>
      <c r="O397" s="1">
        <v>0.49880000000000002</v>
      </c>
      <c r="P397">
        <v>30408.9</v>
      </c>
      <c r="Q397" s="1">
        <v>0.50119999999999998</v>
      </c>
      <c r="R39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97" s="2">
        <f>Tabela_base[[#This Row],[Total Streams (in millions)]]-(Tabela_base[[#This Row],[Lead Streams (in millions)]]+Tabela_base[[#This Row],[Feature Streams (in millions)]])</f>
        <v>-0.10000000000582077</v>
      </c>
    </row>
    <row r="398" spans="1:19" x14ac:dyDescent="0.3">
      <c r="A398" s="20">
        <v>397</v>
      </c>
      <c r="B398" t="s">
        <v>490</v>
      </c>
      <c r="C398" t="s">
        <v>49</v>
      </c>
      <c r="D398" t="s">
        <v>25</v>
      </c>
      <c r="E398" t="s">
        <v>19</v>
      </c>
      <c r="F398" t="s">
        <v>46</v>
      </c>
      <c r="G398" t="s">
        <v>23</v>
      </c>
      <c r="H398">
        <v>2012</v>
      </c>
      <c r="I398">
        <v>7596.7</v>
      </c>
      <c r="J398">
        <v>3575.7</v>
      </c>
      <c r="K398" s="1">
        <v>0.47070000000000001</v>
      </c>
      <c r="L398">
        <v>4021</v>
      </c>
      <c r="M398" s="1">
        <v>0.52929999999999999</v>
      </c>
      <c r="N398">
        <v>2786.1</v>
      </c>
      <c r="O398" s="1">
        <v>0.36680000000000001</v>
      </c>
      <c r="P398">
        <v>4810.6000000000004</v>
      </c>
      <c r="Q398" s="1">
        <v>0.63319999999999999</v>
      </c>
      <c r="R39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98" s="2">
        <f>Tabela_base[[#This Row],[Total Streams (in millions)]]-(Tabela_base[[#This Row],[Lead Streams (in millions)]]+Tabela_base[[#This Row],[Feature Streams (in millions)]])</f>
        <v>0</v>
      </c>
    </row>
    <row r="399" spans="1:19" x14ac:dyDescent="0.3">
      <c r="A399" s="20">
        <v>398</v>
      </c>
      <c r="B399" t="s">
        <v>491</v>
      </c>
      <c r="C399" t="s">
        <v>17</v>
      </c>
      <c r="D399" t="s">
        <v>113</v>
      </c>
      <c r="E399" t="s">
        <v>114</v>
      </c>
      <c r="F399" t="s">
        <v>55</v>
      </c>
      <c r="G399" t="s">
        <v>23</v>
      </c>
      <c r="H399">
        <v>2014</v>
      </c>
      <c r="I399">
        <v>12403.3</v>
      </c>
      <c r="J399">
        <v>7261.2</v>
      </c>
      <c r="K399" s="1">
        <v>0.58540000000000003</v>
      </c>
      <c r="L399">
        <v>5145.8</v>
      </c>
      <c r="M399" s="1">
        <v>0.41489999999999999</v>
      </c>
      <c r="N399">
        <v>376.4</v>
      </c>
      <c r="O399" s="1">
        <v>3.0300000000000001E-2</v>
      </c>
      <c r="P399">
        <v>12026.9</v>
      </c>
      <c r="Q399" s="1">
        <v>0.96970000000000001</v>
      </c>
      <c r="R39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399" s="2">
        <f>Tabela_base[[#This Row],[Total Streams (in millions)]]-(Tabela_base[[#This Row],[Lead Streams (in millions)]]+Tabela_base[[#This Row],[Feature Streams (in millions)]])</f>
        <v>-3.7000000000007276</v>
      </c>
    </row>
    <row r="400" spans="1:19" x14ac:dyDescent="0.3">
      <c r="A400" s="20">
        <v>399</v>
      </c>
      <c r="B400" t="s">
        <v>492</v>
      </c>
      <c r="C400" t="s">
        <v>17</v>
      </c>
      <c r="D400" t="s">
        <v>18</v>
      </c>
      <c r="E400" t="s">
        <v>19</v>
      </c>
      <c r="F400" t="s">
        <v>20</v>
      </c>
      <c r="G400" t="s">
        <v>23</v>
      </c>
      <c r="H400">
        <v>2015</v>
      </c>
      <c r="I400">
        <v>8148</v>
      </c>
      <c r="J400">
        <v>7808</v>
      </c>
      <c r="K400" s="1">
        <v>0.95830000000000004</v>
      </c>
      <c r="L400">
        <v>340</v>
      </c>
      <c r="M400" s="1">
        <v>4.1700000000000001E-2</v>
      </c>
      <c r="N400">
        <v>6616.8</v>
      </c>
      <c r="O400" s="1">
        <v>0.81210000000000004</v>
      </c>
      <c r="P400">
        <v>1531.2</v>
      </c>
      <c r="Q400" s="1">
        <v>0.18790000000000001</v>
      </c>
      <c r="R40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00" s="2">
        <f>Tabela_base[[#This Row],[Total Streams (in millions)]]-(Tabela_base[[#This Row],[Lead Streams (in millions)]]+Tabela_base[[#This Row],[Feature Streams (in millions)]])</f>
        <v>0</v>
      </c>
    </row>
    <row r="401" spans="1:19" x14ac:dyDescent="0.3">
      <c r="A401" s="20">
        <v>400</v>
      </c>
      <c r="B401" t="s">
        <v>493</v>
      </c>
      <c r="C401" t="s">
        <v>17</v>
      </c>
      <c r="D401" t="s">
        <v>18</v>
      </c>
      <c r="E401" t="s">
        <v>19</v>
      </c>
      <c r="F401" t="s">
        <v>20</v>
      </c>
      <c r="G401" t="s">
        <v>23</v>
      </c>
      <c r="H401">
        <v>2017</v>
      </c>
      <c r="I401">
        <v>13692</v>
      </c>
      <c r="J401">
        <v>6665</v>
      </c>
      <c r="K401" s="1">
        <v>0.48680000000000001</v>
      </c>
      <c r="L401">
        <v>7030</v>
      </c>
      <c r="M401" s="1">
        <v>0.51339999999999997</v>
      </c>
      <c r="N401">
        <v>4971.3</v>
      </c>
      <c r="O401" s="1">
        <v>0.36309999999999998</v>
      </c>
      <c r="P401">
        <v>8720.7000000000007</v>
      </c>
      <c r="Q401" s="1">
        <v>0.63690000000000002</v>
      </c>
      <c r="R40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01" s="2">
        <f>Tabela_base[[#This Row],[Total Streams (in millions)]]-(Tabela_base[[#This Row],[Lead Streams (in millions)]]+Tabela_base[[#This Row],[Feature Streams (in millions)]])</f>
        <v>-3</v>
      </c>
    </row>
    <row r="402" spans="1:19" x14ac:dyDescent="0.3">
      <c r="A402" s="20">
        <v>401</v>
      </c>
      <c r="B402" t="s">
        <v>494</v>
      </c>
      <c r="C402" t="s">
        <v>17</v>
      </c>
      <c r="D402" t="s">
        <v>18</v>
      </c>
      <c r="E402" t="s">
        <v>41</v>
      </c>
      <c r="F402" t="s">
        <v>93</v>
      </c>
      <c r="G402" t="s">
        <v>23</v>
      </c>
      <c r="H402">
        <v>2011</v>
      </c>
      <c r="I402">
        <v>20549.2</v>
      </c>
      <c r="J402">
        <v>14249.8</v>
      </c>
      <c r="K402" s="1">
        <v>0.69340000000000002</v>
      </c>
      <c r="L402">
        <v>6311</v>
      </c>
      <c r="M402" s="1">
        <v>0.30709999999999998</v>
      </c>
      <c r="N402">
        <v>8225.7000000000007</v>
      </c>
      <c r="O402" s="1">
        <v>0.40029999999999999</v>
      </c>
      <c r="P402">
        <v>12323.5</v>
      </c>
      <c r="Q402" s="1">
        <v>0.59970000000000001</v>
      </c>
      <c r="R40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02" s="2">
        <f>Tabela_base[[#This Row],[Total Streams (in millions)]]-(Tabela_base[[#This Row],[Lead Streams (in millions)]]+Tabela_base[[#This Row],[Feature Streams (in millions)]])</f>
        <v>-11.599999999998545</v>
      </c>
    </row>
    <row r="403" spans="1:19" x14ac:dyDescent="0.3">
      <c r="A403" s="20">
        <v>402</v>
      </c>
      <c r="B403" t="s">
        <v>495</v>
      </c>
      <c r="C403" t="s">
        <v>49</v>
      </c>
      <c r="D403" t="s">
        <v>60</v>
      </c>
      <c r="E403" t="s">
        <v>41</v>
      </c>
      <c r="F403" t="s">
        <v>46</v>
      </c>
      <c r="G403" t="s">
        <v>23</v>
      </c>
      <c r="H403">
        <v>2016</v>
      </c>
      <c r="I403">
        <v>14558.4</v>
      </c>
      <c r="J403">
        <v>10084</v>
      </c>
      <c r="K403" s="1">
        <v>0.69269999999999998</v>
      </c>
      <c r="L403">
        <v>4479.1000000000004</v>
      </c>
      <c r="M403" s="1">
        <v>0.30769999999999997</v>
      </c>
      <c r="N403">
        <v>5316.8</v>
      </c>
      <c r="O403" s="1">
        <v>0.36520000000000002</v>
      </c>
      <c r="P403">
        <v>9241.6</v>
      </c>
      <c r="Q403" s="1">
        <v>0.63480000000000003</v>
      </c>
      <c r="R40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03" s="2">
        <f>Tabela_base[[#This Row],[Total Streams (in millions)]]-(Tabela_base[[#This Row],[Lead Streams (in millions)]]+Tabela_base[[#This Row],[Feature Streams (in millions)]])</f>
        <v>-4.7000000000007276</v>
      </c>
    </row>
    <row r="404" spans="1:19" x14ac:dyDescent="0.3">
      <c r="A404" s="20">
        <v>403</v>
      </c>
      <c r="B404" t="s">
        <v>496</v>
      </c>
      <c r="C404" t="s">
        <v>17</v>
      </c>
      <c r="D404" t="s">
        <v>18</v>
      </c>
      <c r="E404" t="s">
        <v>19</v>
      </c>
      <c r="F404" t="s">
        <v>20</v>
      </c>
      <c r="G404" t="s">
        <v>23</v>
      </c>
      <c r="H404">
        <v>2011</v>
      </c>
      <c r="I404">
        <v>8043.6</v>
      </c>
      <c r="J404">
        <v>7678.7</v>
      </c>
      <c r="K404" s="1">
        <v>0.9546</v>
      </c>
      <c r="L404">
        <v>364.9</v>
      </c>
      <c r="M404" s="1">
        <v>4.5400000000000003E-2</v>
      </c>
      <c r="N404">
        <v>6527.6</v>
      </c>
      <c r="O404" s="1">
        <v>0.8115</v>
      </c>
      <c r="P404">
        <v>1516</v>
      </c>
      <c r="Q404" s="1">
        <v>0.1885</v>
      </c>
      <c r="R40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04" s="2">
        <f>Tabela_base[[#This Row],[Total Streams (in millions)]]-(Tabela_base[[#This Row],[Lead Streams (in millions)]]+Tabela_base[[#This Row],[Feature Streams (in millions)]])</f>
        <v>0</v>
      </c>
    </row>
    <row r="405" spans="1:19" x14ac:dyDescent="0.3">
      <c r="A405" s="20">
        <v>404</v>
      </c>
      <c r="B405" t="s">
        <v>497</v>
      </c>
      <c r="C405" t="s">
        <v>17</v>
      </c>
      <c r="D405" t="s">
        <v>103</v>
      </c>
      <c r="E405" t="s">
        <v>41</v>
      </c>
      <c r="F405" t="s">
        <v>42</v>
      </c>
      <c r="G405" t="s">
        <v>23</v>
      </c>
      <c r="H405">
        <v>2017</v>
      </c>
      <c r="I405">
        <v>7645.2</v>
      </c>
      <c r="J405">
        <v>4203.6000000000004</v>
      </c>
      <c r="K405" s="1">
        <v>0.54979999999999996</v>
      </c>
      <c r="L405">
        <v>3448.5</v>
      </c>
      <c r="M405" s="1">
        <v>0.4511</v>
      </c>
      <c r="N405">
        <v>1809.6</v>
      </c>
      <c r="O405" s="1">
        <v>0.23669999999999999</v>
      </c>
      <c r="P405">
        <v>5835.6</v>
      </c>
      <c r="Q405" s="1">
        <v>0.76329999999999998</v>
      </c>
      <c r="R40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05" s="2">
        <f>Tabela_base[[#This Row],[Total Streams (in millions)]]-(Tabela_base[[#This Row],[Lead Streams (in millions)]]+Tabela_base[[#This Row],[Feature Streams (in millions)]])</f>
        <v>-6.9000000000005457</v>
      </c>
    </row>
    <row r="406" spans="1:19" x14ac:dyDescent="0.3">
      <c r="A406" s="20">
        <v>405</v>
      </c>
      <c r="B406" t="s">
        <v>498</v>
      </c>
      <c r="C406" t="s">
        <v>17</v>
      </c>
      <c r="D406" t="s">
        <v>18</v>
      </c>
      <c r="E406" t="s">
        <v>19</v>
      </c>
      <c r="F406" t="s">
        <v>20</v>
      </c>
      <c r="G406" t="s">
        <v>23</v>
      </c>
      <c r="H406">
        <v>2008</v>
      </c>
      <c r="I406">
        <v>7237.6</v>
      </c>
      <c r="J406">
        <v>0</v>
      </c>
      <c r="K406" s="1">
        <v>0</v>
      </c>
      <c r="L406">
        <v>7237.6</v>
      </c>
      <c r="M406" s="1">
        <v>1</v>
      </c>
      <c r="N406">
        <v>0</v>
      </c>
      <c r="O406" s="1">
        <v>0</v>
      </c>
      <c r="P406">
        <v>7237.6</v>
      </c>
      <c r="Q406" s="1">
        <v>1</v>
      </c>
      <c r="R40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06" s="2">
        <f>Tabela_base[[#This Row],[Total Streams (in millions)]]-(Tabela_base[[#This Row],[Lead Streams (in millions)]]+Tabela_base[[#This Row],[Feature Streams (in millions)]])</f>
        <v>0</v>
      </c>
    </row>
    <row r="407" spans="1:19" x14ac:dyDescent="0.3">
      <c r="A407" s="20">
        <v>406</v>
      </c>
      <c r="B407" t="s">
        <v>499</v>
      </c>
      <c r="C407" t="s">
        <v>49</v>
      </c>
      <c r="D407" t="s">
        <v>18</v>
      </c>
      <c r="E407" t="s">
        <v>19</v>
      </c>
      <c r="F407" t="s">
        <v>46</v>
      </c>
      <c r="G407" t="s">
        <v>23</v>
      </c>
      <c r="H407">
        <v>2014</v>
      </c>
      <c r="I407">
        <v>24888.6</v>
      </c>
      <c r="J407">
        <v>22789.599999999999</v>
      </c>
      <c r="K407" s="1">
        <v>0.91569999999999996</v>
      </c>
      <c r="L407">
        <v>2114.3000000000002</v>
      </c>
      <c r="M407" s="1">
        <v>8.5000000000000006E-2</v>
      </c>
      <c r="N407">
        <v>22549.4</v>
      </c>
      <c r="O407" s="1">
        <v>0.90600000000000003</v>
      </c>
      <c r="P407">
        <v>2339.1999999999998</v>
      </c>
      <c r="Q407" s="1">
        <v>9.4E-2</v>
      </c>
      <c r="R40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07" s="2">
        <f>Tabela_base[[#This Row],[Total Streams (in millions)]]-(Tabela_base[[#This Row],[Lead Streams (in millions)]]+Tabela_base[[#This Row],[Feature Streams (in millions)]])</f>
        <v>-15.299999999999272</v>
      </c>
    </row>
    <row r="408" spans="1:19" x14ac:dyDescent="0.3">
      <c r="A408" s="20">
        <v>407</v>
      </c>
      <c r="B408" t="s">
        <v>500</v>
      </c>
      <c r="C408" t="s">
        <v>17</v>
      </c>
      <c r="D408" t="s">
        <v>37</v>
      </c>
      <c r="E408" t="s">
        <v>68</v>
      </c>
      <c r="F408" t="s">
        <v>39</v>
      </c>
      <c r="G408" t="s">
        <v>21</v>
      </c>
      <c r="H408">
        <v>2009</v>
      </c>
      <c r="I408">
        <v>8584.2000000000007</v>
      </c>
      <c r="J408">
        <v>6741.1</v>
      </c>
      <c r="K408" s="1">
        <v>0.7853</v>
      </c>
      <c r="L408">
        <v>1843.2</v>
      </c>
      <c r="M408" s="1">
        <v>0.2147</v>
      </c>
      <c r="N408">
        <v>20</v>
      </c>
      <c r="O408" s="1">
        <v>2.3E-3</v>
      </c>
      <c r="P408">
        <v>8564.2000000000007</v>
      </c>
      <c r="Q408" s="1">
        <v>0.99770000000000003</v>
      </c>
      <c r="R40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08" s="2">
        <f>Tabela_base[[#This Row],[Total Streams (in millions)]]-(Tabela_base[[#This Row],[Lead Streams (in millions)]]+Tabela_base[[#This Row],[Feature Streams (in millions)]])</f>
        <v>-0.1000000000003638</v>
      </c>
    </row>
    <row r="409" spans="1:19" x14ac:dyDescent="0.3">
      <c r="A409" s="20">
        <v>408</v>
      </c>
      <c r="B409" t="s">
        <v>501</v>
      </c>
      <c r="C409" t="s">
        <v>17</v>
      </c>
      <c r="D409" t="s">
        <v>25</v>
      </c>
      <c r="E409" t="s">
        <v>19</v>
      </c>
      <c r="F409" t="s">
        <v>46</v>
      </c>
      <c r="G409" t="s">
        <v>23</v>
      </c>
      <c r="H409">
        <v>2012</v>
      </c>
      <c r="I409">
        <v>29197.200000000001</v>
      </c>
      <c r="J409">
        <v>24125.8</v>
      </c>
      <c r="K409" s="1">
        <v>0.82630000000000003</v>
      </c>
      <c r="L409">
        <v>5078.3</v>
      </c>
      <c r="M409" s="1">
        <v>0.1739</v>
      </c>
      <c r="N409">
        <v>17995.2</v>
      </c>
      <c r="O409" s="1">
        <v>0.61629999999999996</v>
      </c>
      <c r="P409">
        <v>11202</v>
      </c>
      <c r="Q409" s="1">
        <v>0.38369999999999999</v>
      </c>
      <c r="R40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09" s="2">
        <f>Tabela_base[[#This Row],[Total Streams (in millions)]]-(Tabela_base[[#This Row],[Lead Streams (in millions)]]+Tabela_base[[#This Row],[Feature Streams (in millions)]])</f>
        <v>-6.8999999999978172</v>
      </c>
    </row>
    <row r="410" spans="1:19" x14ac:dyDescent="0.3">
      <c r="A410" s="20">
        <v>409</v>
      </c>
      <c r="B410" t="s">
        <v>502</v>
      </c>
      <c r="C410" t="s">
        <v>17</v>
      </c>
      <c r="D410" t="s">
        <v>18</v>
      </c>
      <c r="E410" t="s">
        <v>19</v>
      </c>
      <c r="F410" t="s">
        <v>20</v>
      </c>
      <c r="G410" t="s">
        <v>23</v>
      </c>
      <c r="H410">
        <v>2008</v>
      </c>
      <c r="I410">
        <v>7817.3</v>
      </c>
      <c r="J410">
        <v>4590.3999999999996</v>
      </c>
      <c r="K410" s="1">
        <v>0.58720000000000006</v>
      </c>
      <c r="L410">
        <v>3227</v>
      </c>
      <c r="M410" s="1">
        <v>0.4128</v>
      </c>
      <c r="N410">
        <v>1655.2</v>
      </c>
      <c r="O410" s="1">
        <v>0.2117</v>
      </c>
      <c r="P410">
        <v>6162.1</v>
      </c>
      <c r="Q410" s="1">
        <v>0.7883</v>
      </c>
      <c r="R41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10" s="2">
        <f>Tabela_base[[#This Row],[Total Streams (in millions)]]-(Tabela_base[[#This Row],[Lead Streams (in millions)]]+Tabela_base[[#This Row],[Feature Streams (in millions)]])</f>
        <v>-9.9999999999454303E-2</v>
      </c>
    </row>
    <row r="411" spans="1:19" x14ac:dyDescent="0.3">
      <c r="A411" s="20">
        <v>410</v>
      </c>
      <c r="B411" t="s">
        <v>503</v>
      </c>
      <c r="C411" t="s">
        <v>17</v>
      </c>
      <c r="D411" t="s">
        <v>130</v>
      </c>
      <c r="E411" t="s">
        <v>19</v>
      </c>
      <c r="F411" t="s">
        <v>131</v>
      </c>
      <c r="G411" t="s">
        <v>23</v>
      </c>
      <c r="H411">
        <v>1996</v>
      </c>
      <c r="I411">
        <v>18203.3</v>
      </c>
      <c r="J411">
        <v>9674.9</v>
      </c>
      <c r="K411" s="1">
        <v>0.53149999999999997</v>
      </c>
      <c r="L411">
        <v>8539.4</v>
      </c>
      <c r="M411" s="1">
        <v>0.46910000000000002</v>
      </c>
      <c r="N411">
        <v>4460.6000000000004</v>
      </c>
      <c r="O411" s="1">
        <v>0.245</v>
      </c>
      <c r="P411">
        <v>13742.7</v>
      </c>
      <c r="Q411" s="1">
        <v>0.755</v>
      </c>
      <c r="R41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11" s="2">
        <f>Tabela_base[[#This Row],[Total Streams (in millions)]]-(Tabela_base[[#This Row],[Lead Streams (in millions)]]+Tabela_base[[#This Row],[Feature Streams (in millions)]])</f>
        <v>-11</v>
      </c>
    </row>
    <row r="412" spans="1:19" x14ac:dyDescent="0.3">
      <c r="A412" s="20">
        <v>411</v>
      </c>
      <c r="B412" t="s">
        <v>504</v>
      </c>
      <c r="C412" t="s">
        <v>17</v>
      </c>
      <c r="D412" t="s">
        <v>103</v>
      </c>
      <c r="E412" t="s">
        <v>41</v>
      </c>
      <c r="F412" t="s">
        <v>58</v>
      </c>
      <c r="G412" t="s">
        <v>23</v>
      </c>
      <c r="H412">
        <v>2013</v>
      </c>
      <c r="I412">
        <v>16984.3</v>
      </c>
      <c r="J412">
        <v>10969.8</v>
      </c>
      <c r="K412" s="1">
        <v>0.64590000000000003</v>
      </c>
      <c r="L412">
        <v>6018.9</v>
      </c>
      <c r="M412" s="1">
        <v>0.35439999999999999</v>
      </c>
      <c r="N412">
        <v>4419.3</v>
      </c>
      <c r="O412" s="1">
        <v>0.26019999999999999</v>
      </c>
      <c r="P412">
        <v>12565</v>
      </c>
      <c r="Q412" s="1">
        <v>0.73980000000000001</v>
      </c>
      <c r="R41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12" s="2">
        <f>Tabela_base[[#This Row],[Total Streams (in millions)]]-(Tabela_base[[#This Row],[Lead Streams (in millions)]]+Tabela_base[[#This Row],[Feature Streams (in millions)]])</f>
        <v>-4.3999999999978172</v>
      </c>
    </row>
    <row r="413" spans="1:19" x14ac:dyDescent="0.3">
      <c r="A413" s="20">
        <v>412</v>
      </c>
      <c r="B413" t="s">
        <v>505</v>
      </c>
      <c r="C413" t="s">
        <v>17</v>
      </c>
      <c r="D413" t="s">
        <v>506</v>
      </c>
      <c r="E413" t="s">
        <v>41</v>
      </c>
      <c r="F413" t="s">
        <v>42</v>
      </c>
      <c r="G413" t="s">
        <v>23</v>
      </c>
      <c r="H413">
        <v>2014</v>
      </c>
      <c r="I413">
        <v>19528.3</v>
      </c>
      <c r="J413">
        <v>7512.9</v>
      </c>
      <c r="K413" s="1">
        <v>0.38469999999999999</v>
      </c>
      <c r="L413">
        <v>12015.4</v>
      </c>
      <c r="M413" s="1">
        <v>0.61529999999999996</v>
      </c>
      <c r="N413">
        <v>2397.8000000000002</v>
      </c>
      <c r="O413" s="1">
        <v>0.12280000000000001</v>
      </c>
      <c r="P413">
        <v>17130.5</v>
      </c>
      <c r="Q413" s="1">
        <v>0.87719999999999998</v>
      </c>
      <c r="R41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13" s="2">
        <f>Tabela_base[[#This Row],[Total Streams (in millions)]]-(Tabela_base[[#This Row],[Lead Streams (in millions)]]+Tabela_base[[#This Row],[Feature Streams (in millions)]])</f>
        <v>0</v>
      </c>
    </row>
    <row r="414" spans="1:19" x14ac:dyDescent="0.3">
      <c r="A414" s="20">
        <v>413</v>
      </c>
      <c r="B414" t="s">
        <v>507</v>
      </c>
      <c r="C414" t="s">
        <v>49</v>
      </c>
      <c r="D414" t="s">
        <v>18</v>
      </c>
      <c r="E414" t="s">
        <v>19</v>
      </c>
      <c r="F414" t="s">
        <v>46</v>
      </c>
      <c r="G414" t="s">
        <v>23</v>
      </c>
      <c r="H414">
        <v>2008</v>
      </c>
      <c r="I414">
        <v>26895.1</v>
      </c>
      <c r="J414">
        <v>16017.5</v>
      </c>
      <c r="K414" s="1">
        <v>0.59560000000000002</v>
      </c>
      <c r="L414">
        <v>10884.4</v>
      </c>
      <c r="M414" s="1">
        <v>0.4047</v>
      </c>
      <c r="N414">
        <v>10921.5</v>
      </c>
      <c r="O414" s="1">
        <v>0.40610000000000002</v>
      </c>
      <c r="P414">
        <v>15973.6</v>
      </c>
      <c r="Q414" s="1">
        <v>0.59389999999999998</v>
      </c>
      <c r="R41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14" s="2">
        <f>Tabela_base[[#This Row],[Total Streams (in millions)]]-(Tabela_base[[#This Row],[Lead Streams (in millions)]]+Tabela_base[[#This Row],[Feature Streams (in millions)]])</f>
        <v>-6.8000000000029104</v>
      </c>
    </row>
    <row r="415" spans="1:19" x14ac:dyDescent="0.3">
      <c r="A415" s="20">
        <v>414</v>
      </c>
      <c r="B415" t="s">
        <v>508</v>
      </c>
      <c r="C415" t="s">
        <v>44</v>
      </c>
      <c r="D415" t="s">
        <v>124</v>
      </c>
      <c r="E415" t="s">
        <v>125</v>
      </c>
      <c r="F415" t="s">
        <v>126</v>
      </c>
      <c r="G415" t="s">
        <v>21</v>
      </c>
      <c r="H415">
        <v>2015</v>
      </c>
      <c r="I415">
        <v>8531.2999999999993</v>
      </c>
      <c r="J415">
        <v>8465.7000000000007</v>
      </c>
      <c r="K415" s="1">
        <v>0.99229999999999996</v>
      </c>
      <c r="L415">
        <v>70</v>
      </c>
      <c r="M415" s="1">
        <v>8.2000000000000007E-3</v>
      </c>
      <c r="N415">
        <v>8284.9</v>
      </c>
      <c r="O415" s="1">
        <v>0.97109999999999996</v>
      </c>
      <c r="P415">
        <v>246.4</v>
      </c>
      <c r="Q415" s="1">
        <v>2.8899999999999999E-2</v>
      </c>
      <c r="R41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15" s="2">
        <f>Tabela_base[[#This Row],[Total Streams (in millions)]]-(Tabela_base[[#This Row],[Lead Streams (in millions)]]+Tabela_base[[#This Row],[Feature Streams (in millions)]])</f>
        <v>-4.4000000000014552</v>
      </c>
    </row>
    <row r="416" spans="1:19" x14ac:dyDescent="0.3">
      <c r="A416" s="20">
        <v>415</v>
      </c>
      <c r="B416" t="s">
        <v>509</v>
      </c>
      <c r="C416" t="s">
        <v>17</v>
      </c>
      <c r="D416" t="s">
        <v>372</v>
      </c>
      <c r="E416" t="s">
        <v>373</v>
      </c>
      <c r="F416" t="s">
        <v>20</v>
      </c>
      <c r="G416" t="s">
        <v>23</v>
      </c>
      <c r="H416">
        <v>2011</v>
      </c>
      <c r="I416">
        <v>9437.2999999999993</v>
      </c>
      <c r="J416">
        <v>6110.3</v>
      </c>
      <c r="K416" s="1">
        <v>0.64749999999999996</v>
      </c>
      <c r="L416">
        <v>3331.7</v>
      </c>
      <c r="M416" s="1">
        <v>0.35299999999999998</v>
      </c>
      <c r="N416">
        <v>2399.1999999999998</v>
      </c>
      <c r="O416" s="1">
        <v>0.25419999999999998</v>
      </c>
      <c r="P416">
        <v>7038.1</v>
      </c>
      <c r="Q416" s="1">
        <v>0.74580000000000002</v>
      </c>
      <c r="R41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16" s="2">
        <f>Tabela_base[[#This Row],[Total Streams (in millions)]]-(Tabela_base[[#This Row],[Lead Streams (in millions)]]+Tabela_base[[#This Row],[Feature Streams (in millions)]])</f>
        <v>-4.7000000000007276</v>
      </c>
    </row>
    <row r="417" spans="1:19" x14ac:dyDescent="0.3">
      <c r="A417" s="20">
        <v>416</v>
      </c>
      <c r="B417" t="s">
        <v>510</v>
      </c>
      <c r="C417" t="s">
        <v>49</v>
      </c>
      <c r="D417" t="s">
        <v>103</v>
      </c>
      <c r="E417" t="s">
        <v>41</v>
      </c>
      <c r="F417" t="s">
        <v>58</v>
      </c>
      <c r="G417" t="s">
        <v>23</v>
      </c>
      <c r="H417">
        <v>1991</v>
      </c>
      <c r="I417">
        <v>31212.400000000001</v>
      </c>
      <c r="J417">
        <v>24041</v>
      </c>
      <c r="K417" s="1">
        <v>0.7702</v>
      </c>
      <c r="L417">
        <v>7171.5</v>
      </c>
      <c r="M417" s="1">
        <v>0.2298</v>
      </c>
      <c r="N417">
        <v>11661.1</v>
      </c>
      <c r="O417" s="1">
        <v>0.37359999999999999</v>
      </c>
      <c r="P417">
        <v>19551.3</v>
      </c>
      <c r="Q417" s="1">
        <v>0.62639999999999996</v>
      </c>
      <c r="R41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17" s="2">
        <f>Tabela_base[[#This Row],[Total Streams (in millions)]]-(Tabela_base[[#This Row],[Lead Streams (in millions)]]+Tabela_base[[#This Row],[Feature Streams (in millions)]])</f>
        <v>-9.9999999998544808E-2</v>
      </c>
    </row>
    <row r="418" spans="1:19" x14ac:dyDescent="0.3">
      <c r="A418" s="20">
        <v>417</v>
      </c>
      <c r="B418" t="s">
        <v>511</v>
      </c>
      <c r="C418" t="s">
        <v>17</v>
      </c>
      <c r="D418" t="s">
        <v>62</v>
      </c>
      <c r="E418" t="s">
        <v>19</v>
      </c>
      <c r="F418" t="s">
        <v>46</v>
      </c>
      <c r="G418" t="s">
        <v>23</v>
      </c>
      <c r="H418">
        <v>2014</v>
      </c>
      <c r="I418">
        <v>29471.1</v>
      </c>
      <c r="J418">
        <v>28781</v>
      </c>
      <c r="K418" s="1">
        <v>0.97660000000000002</v>
      </c>
      <c r="L418">
        <v>699</v>
      </c>
      <c r="M418" s="1">
        <v>2.3699999999999999E-2</v>
      </c>
      <c r="N418">
        <v>22074.9</v>
      </c>
      <c r="O418" s="1">
        <v>0.749</v>
      </c>
      <c r="P418">
        <v>7396.2</v>
      </c>
      <c r="Q418" s="1">
        <v>0.251</v>
      </c>
      <c r="R41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18" s="2">
        <f>Tabela_base[[#This Row],[Total Streams (in millions)]]-(Tabela_base[[#This Row],[Lead Streams (in millions)]]+Tabela_base[[#This Row],[Feature Streams (in millions)]])</f>
        <v>-8.9000000000014552</v>
      </c>
    </row>
    <row r="419" spans="1:19" x14ac:dyDescent="0.3">
      <c r="A419" s="20">
        <v>418</v>
      </c>
      <c r="B419" t="s">
        <v>512</v>
      </c>
      <c r="C419" t="s">
        <v>49</v>
      </c>
      <c r="D419" t="s">
        <v>37</v>
      </c>
      <c r="E419" t="s">
        <v>68</v>
      </c>
      <c r="F419" t="s">
        <v>39</v>
      </c>
      <c r="G419" t="s">
        <v>23</v>
      </c>
      <c r="H419">
        <v>2002</v>
      </c>
      <c r="I419">
        <v>15723</v>
      </c>
      <c r="J419">
        <v>2035.3</v>
      </c>
      <c r="K419" s="1">
        <v>0.12939999999999999</v>
      </c>
      <c r="L419">
        <v>13703.9</v>
      </c>
      <c r="M419" s="1">
        <v>0.87160000000000004</v>
      </c>
      <c r="N419">
        <v>690.5</v>
      </c>
      <c r="O419" s="1">
        <v>4.3900000000000002E-2</v>
      </c>
      <c r="P419">
        <v>15032.5</v>
      </c>
      <c r="Q419" s="1">
        <v>0.95609999999999995</v>
      </c>
      <c r="R41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19" s="2">
        <f>Tabela_base[[#This Row],[Total Streams (in millions)]]-(Tabela_base[[#This Row],[Lead Streams (in millions)]]+Tabela_base[[#This Row],[Feature Streams (in millions)]])</f>
        <v>-16.199999999998909</v>
      </c>
    </row>
    <row r="420" spans="1:19" x14ac:dyDescent="0.3">
      <c r="A420" s="20">
        <v>419</v>
      </c>
      <c r="B420" t="s">
        <v>513</v>
      </c>
      <c r="C420" t="s">
        <v>49</v>
      </c>
      <c r="D420" t="s">
        <v>28</v>
      </c>
      <c r="E420" t="s">
        <v>19</v>
      </c>
      <c r="F420" t="s">
        <v>46</v>
      </c>
      <c r="G420" t="s">
        <v>23</v>
      </c>
      <c r="H420">
        <v>1997</v>
      </c>
      <c r="I420">
        <v>31642.1</v>
      </c>
      <c r="J420">
        <v>21063.200000000001</v>
      </c>
      <c r="K420" s="1">
        <v>0.66569999999999996</v>
      </c>
      <c r="L420">
        <v>10588.2</v>
      </c>
      <c r="M420" s="1">
        <v>0.33460000000000001</v>
      </c>
      <c r="N420">
        <v>15741.1</v>
      </c>
      <c r="O420" s="1">
        <v>0.4975</v>
      </c>
      <c r="P420">
        <v>15901</v>
      </c>
      <c r="Q420" s="1">
        <v>0.50249999999999995</v>
      </c>
      <c r="R42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20" s="2">
        <f>Tabela_base[[#This Row],[Total Streams (in millions)]]-(Tabela_base[[#This Row],[Lead Streams (in millions)]]+Tabela_base[[#This Row],[Feature Streams (in millions)]])</f>
        <v>-9.3000000000029104</v>
      </c>
    </row>
    <row r="421" spans="1:19" x14ac:dyDescent="0.3">
      <c r="A421" s="20">
        <v>420</v>
      </c>
      <c r="B421" t="s">
        <v>514</v>
      </c>
      <c r="C421" t="s">
        <v>17</v>
      </c>
      <c r="D421" t="s">
        <v>18</v>
      </c>
      <c r="E421" t="s">
        <v>19</v>
      </c>
      <c r="F421" t="s">
        <v>55</v>
      </c>
      <c r="G421" t="s">
        <v>23</v>
      </c>
      <c r="H421">
        <v>2010</v>
      </c>
      <c r="I421">
        <v>11198.8</v>
      </c>
      <c r="J421">
        <v>5328.3</v>
      </c>
      <c r="K421" s="1">
        <v>0.4758</v>
      </c>
      <c r="L421">
        <v>5873.2</v>
      </c>
      <c r="M421" s="1">
        <v>0.52439999999999998</v>
      </c>
      <c r="N421">
        <v>961.9</v>
      </c>
      <c r="O421" s="1">
        <v>8.5900000000000004E-2</v>
      </c>
      <c r="P421">
        <v>10236.9</v>
      </c>
      <c r="Q421" s="1">
        <v>0.91410000000000002</v>
      </c>
      <c r="R42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21" s="2">
        <f>Tabela_base[[#This Row],[Total Streams (in millions)]]-(Tabela_base[[#This Row],[Lead Streams (in millions)]]+Tabela_base[[#This Row],[Feature Streams (in millions)]])</f>
        <v>-2.7000000000007276</v>
      </c>
    </row>
    <row r="422" spans="1:19" x14ac:dyDescent="0.3">
      <c r="A422" s="20">
        <v>421</v>
      </c>
      <c r="B422" t="s">
        <v>515</v>
      </c>
      <c r="C422" t="s">
        <v>17</v>
      </c>
      <c r="D422" t="s">
        <v>18</v>
      </c>
      <c r="E422" t="s">
        <v>19</v>
      </c>
      <c r="F422" t="s">
        <v>91</v>
      </c>
      <c r="G422" t="s">
        <v>21</v>
      </c>
      <c r="H422">
        <v>1999</v>
      </c>
      <c r="I422">
        <v>11051.4</v>
      </c>
      <c r="J422">
        <v>11056.2</v>
      </c>
      <c r="K422" s="1">
        <v>1.0004</v>
      </c>
      <c r="L422">
        <v>0</v>
      </c>
      <c r="M422" s="1">
        <v>0</v>
      </c>
      <c r="N422">
        <v>11051.4</v>
      </c>
      <c r="O422" s="1">
        <v>1</v>
      </c>
      <c r="P422">
        <v>0</v>
      </c>
      <c r="Q422" s="1">
        <v>0</v>
      </c>
      <c r="R42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422" s="2">
        <f>Tabela_base[[#This Row],[Total Streams (in millions)]]-(Tabela_base[[#This Row],[Lead Streams (in millions)]]+Tabela_base[[#This Row],[Feature Streams (in millions)]])</f>
        <v>-4.8000000000010914</v>
      </c>
    </row>
    <row r="423" spans="1:19" x14ac:dyDescent="0.3">
      <c r="A423" s="20">
        <v>422</v>
      </c>
      <c r="B423" t="s">
        <v>516</v>
      </c>
      <c r="C423" t="s">
        <v>17</v>
      </c>
      <c r="D423" t="s">
        <v>18</v>
      </c>
      <c r="E423" t="s">
        <v>19</v>
      </c>
      <c r="F423" t="s">
        <v>20</v>
      </c>
      <c r="G423" t="s">
        <v>23</v>
      </c>
      <c r="H423">
        <v>1993</v>
      </c>
      <c r="I423">
        <v>20644.8</v>
      </c>
      <c r="J423">
        <v>7762</v>
      </c>
      <c r="K423" s="1">
        <v>0.376</v>
      </c>
      <c r="L423">
        <v>12890.7</v>
      </c>
      <c r="M423" s="1">
        <v>0.62439999999999996</v>
      </c>
      <c r="N423">
        <v>1744.2</v>
      </c>
      <c r="O423" s="1">
        <v>8.4500000000000006E-2</v>
      </c>
      <c r="P423">
        <v>18900.599999999999</v>
      </c>
      <c r="Q423" s="1">
        <v>0.91549999999999998</v>
      </c>
      <c r="R42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23" s="2">
        <f>Tabela_base[[#This Row],[Total Streams (in millions)]]-(Tabela_base[[#This Row],[Lead Streams (in millions)]]+Tabela_base[[#This Row],[Feature Streams (in millions)]])</f>
        <v>-7.9000000000014552</v>
      </c>
    </row>
    <row r="424" spans="1:19" x14ac:dyDescent="0.3">
      <c r="A424" s="20">
        <v>423</v>
      </c>
      <c r="B424" t="s">
        <v>517</v>
      </c>
      <c r="C424" t="s">
        <v>17</v>
      </c>
      <c r="D424" t="s">
        <v>18</v>
      </c>
      <c r="E424" t="s">
        <v>19</v>
      </c>
      <c r="F424" t="s">
        <v>33</v>
      </c>
      <c r="G424" t="s">
        <v>23</v>
      </c>
      <c r="H424">
        <v>2015</v>
      </c>
      <c r="I424">
        <v>10368.700000000001</v>
      </c>
      <c r="J424">
        <v>9179.2000000000007</v>
      </c>
      <c r="K424" s="1">
        <v>0.88529999999999998</v>
      </c>
      <c r="L424">
        <v>1201.2</v>
      </c>
      <c r="M424" s="1">
        <v>0.1158</v>
      </c>
      <c r="N424">
        <v>8970.6</v>
      </c>
      <c r="O424" s="1">
        <v>0.86519999999999997</v>
      </c>
      <c r="P424">
        <v>1398.1</v>
      </c>
      <c r="Q424" s="1">
        <v>0.1348</v>
      </c>
      <c r="R42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24" s="2">
        <f>Tabela_base[[#This Row],[Total Streams (in millions)]]-(Tabela_base[[#This Row],[Lead Streams (in millions)]]+Tabela_base[[#This Row],[Feature Streams (in millions)]])</f>
        <v>-11.700000000000728</v>
      </c>
    </row>
    <row r="425" spans="1:19" x14ac:dyDescent="0.3">
      <c r="A425" s="20">
        <v>424</v>
      </c>
      <c r="B425" t="s">
        <v>518</v>
      </c>
      <c r="C425" t="s">
        <v>17</v>
      </c>
      <c r="D425" t="s">
        <v>18</v>
      </c>
      <c r="E425" t="s">
        <v>19</v>
      </c>
      <c r="F425" t="s">
        <v>74</v>
      </c>
      <c r="G425" t="s">
        <v>23</v>
      </c>
      <c r="H425">
        <v>1962</v>
      </c>
      <c r="I425">
        <v>8371.5</v>
      </c>
      <c r="J425">
        <v>7723.5</v>
      </c>
      <c r="K425" s="1">
        <v>0.92259999999999998</v>
      </c>
      <c r="L425">
        <v>648</v>
      </c>
      <c r="M425" s="1">
        <v>7.7399999999999997E-2</v>
      </c>
      <c r="N425">
        <v>7485.7</v>
      </c>
      <c r="O425" s="1">
        <v>0.89419999999999999</v>
      </c>
      <c r="P425">
        <v>885.8</v>
      </c>
      <c r="Q425" s="1">
        <v>0.10580000000000001</v>
      </c>
      <c r="R42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25" s="2">
        <f>Tabela_base[[#This Row],[Total Streams (in millions)]]-(Tabela_base[[#This Row],[Lead Streams (in millions)]]+Tabela_base[[#This Row],[Feature Streams (in millions)]])</f>
        <v>0</v>
      </c>
    </row>
    <row r="426" spans="1:19" x14ac:dyDescent="0.3">
      <c r="A426" s="20">
        <v>425</v>
      </c>
      <c r="B426" t="s">
        <v>519</v>
      </c>
      <c r="C426" t="s">
        <v>17</v>
      </c>
      <c r="D426" t="s">
        <v>124</v>
      </c>
      <c r="E426" t="s">
        <v>125</v>
      </c>
      <c r="F426" t="s">
        <v>126</v>
      </c>
      <c r="G426" t="s">
        <v>21</v>
      </c>
      <c r="H426">
        <v>2018</v>
      </c>
      <c r="I426">
        <v>14947.4</v>
      </c>
      <c r="J426">
        <v>14819</v>
      </c>
      <c r="K426" s="1">
        <v>0.99139999999999995</v>
      </c>
      <c r="L426">
        <v>136.5</v>
      </c>
      <c r="M426" s="1">
        <v>9.1000000000000004E-3</v>
      </c>
      <c r="N426">
        <v>13482.3</v>
      </c>
      <c r="O426" s="1">
        <v>0.90200000000000002</v>
      </c>
      <c r="P426">
        <v>1465.1</v>
      </c>
      <c r="Q426" s="1">
        <v>9.8000000000000004E-2</v>
      </c>
      <c r="R42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26" s="2">
        <f>Tabela_base[[#This Row],[Total Streams (in millions)]]-(Tabela_base[[#This Row],[Lead Streams (in millions)]]+Tabela_base[[#This Row],[Feature Streams (in millions)]])</f>
        <v>-8.1000000000003638</v>
      </c>
    </row>
    <row r="427" spans="1:19" x14ac:dyDescent="0.3">
      <c r="A427" s="20">
        <v>426</v>
      </c>
      <c r="B427" t="s">
        <v>520</v>
      </c>
      <c r="C427" t="s">
        <v>49</v>
      </c>
      <c r="D427" t="s">
        <v>18</v>
      </c>
      <c r="E427" t="s">
        <v>19</v>
      </c>
      <c r="F427" t="s">
        <v>33</v>
      </c>
      <c r="G427" t="s">
        <v>23</v>
      </c>
      <c r="H427">
        <v>2018</v>
      </c>
      <c r="I427">
        <v>10756.4</v>
      </c>
      <c r="J427">
        <v>7776.1</v>
      </c>
      <c r="K427" s="1">
        <v>0.72289999999999999</v>
      </c>
      <c r="L427">
        <v>2980.3</v>
      </c>
      <c r="M427" s="1">
        <v>0.27710000000000001</v>
      </c>
      <c r="N427">
        <v>3834.9</v>
      </c>
      <c r="O427" s="1">
        <v>0.35649999999999998</v>
      </c>
      <c r="P427">
        <v>6921.5</v>
      </c>
      <c r="Q427" s="1">
        <v>0.64349999999999996</v>
      </c>
      <c r="R42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27" s="2">
        <f>Tabela_base[[#This Row],[Total Streams (in millions)]]-(Tabela_base[[#This Row],[Lead Streams (in millions)]]+Tabela_base[[#This Row],[Feature Streams (in millions)]])</f>
        <v>0</v>
      </c>
    </row>
    <row r="428" spans="1:19" x14ac:dyDescent="0.3">
      <c r="A428" s="20">
        <v>427</v>
      </c>
      <c r="B428" t="s">
        <v>521</v>
      </c>
      <c r="C428" t="s">
        <v>17</v>
      </c>
      <c r="D428" t="s">
        <v>18</v>
      </c>
      <c r="E428" t="s">
        <v>19</v>
      </c>
      <c r="F428" t="s">
        <v>20</v>
      </c>
      <c r="G428" t="s">
        <v>23</v>
      </c>
      <c r="H428">
        <v>2010</v>
      </c>
      <c r="I428">
        <v>15746</v>
      </c>
      <c r="J428">
        <v>502.4</v>
      </c>
      <c r="K428" s="1">
        <v>3.1899999999999998E-2</v>
      </c>
      <c r="L428">
        <v>15243.6</v>
      </c>
      <c r="M428" s="1">
        <v>0.96809999999999996</v>
      </c>
      <c r="N428">
        <v>142.80000000000001</v>
      </c>
      <c r="O428" s="1">
        <v>9.1000000000000004E-3</v>
      </c>
      <c r="P428">
        <v>15603.2</v>
      </c>
      <c r="Q428" s="1">
        <v>0.9909</v>
      </c>
      <c r="R42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28" s="2">
        <f>Tabela_base[[#This Row],[Total Streams (in millions)]]-(Tabela_base[[#This Row],[Lead Streams (in millions)]]+Tabela_base[[#This Row],[Feature Streams (in millions)]])</f>
        <v>0</v>
      </c>
    </row>
    <row r="429" spans="1:19" x14ac:dyDescent="0.3">
      <c r="A429" s="20">
        <v>428</v>
      </c>
      <c r="B429" t="s">
        <v>522</v>
      </c>
      <c r="C429" t="s">
        <v>17</v>
      </c>
      <c r="D429" t="s">
        <v>18</v>
      </c>
      <c r="E429" t="s">
        <v>19</v>
      </c>
      <c r="F429" t="s">
        <v>91</v>
      </c>
      <c r="G429" t="s">
        <v>21</v>
      </c>
      <c r="H429">
        <v>1998</v>
      </c>
      <c r="I429">
        <v>13009.4</v>
      </c>
      <c r="J429">
        <v>13017.1</v>
      </c>
      <c r="K429" s="1">
        <v>1.0005999999999999</v>
      </c>
      <c r="L429">
        <v>0</v>
      </c>
      <c r="M429" s="1">
        <v>0</v>
      </c>
      <c r="N429">
        <v>12963.5</v>
      </c>
      <c r="O429" s="1">
        <v>0.99650000000000005</v>
      </c>
      <c r="P429">
        <v>45.9</v>
      </c>
      <c r="Q429" s="1">
        <v>3.5000000000000001E-3</v>
      </c>
      <c r="R42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429" s="2">
        <f>Tabela_base[[#This Row],[Total Streams (in millions)]]-(Tabela_base[[#This Row],[Lead Streams (in millions)]]+Tabela_base[[#This Row],[Feature Streams (in millions)]])</f>
        <v>-7.7000000000007276</v>
      </c>
    </row>
    <row r="430" spans="1:19" x14ac:dyDescent="0.3">
      <c r="A430" s="20">
        <v>429</v>
      </c>
      <c r="B430" t="s">
        <v>523</v>
      </c>
      <c r="C430" t="s">
        <v>49</v>
      </c>
      <c r="D430" t="s">
        <v>18</v>
      </c>
      <c r="E430" t="s">
        <v>19</v>
      </c>
      <c r="F430" t="s">
        <v>33</v>
      </c>
      <c r="G430" t="s">
        <v>23</v>
      </c>
      <c r="H430">
        <v>2012</v>
      </c>
      <c r="I430">
        <v>38879.599999999999</v>
      </c>
      <c r="J430">
        <v>25267.5</v>
      </c>
      <c r="K430" s="1">
        <v>0.64990000000000003</v>
      </c>
      <c r="L430">
        <v>13627.2</v>
      </c>
      <c r="M430" s="1">
        <v>0.35049999999999998</v>
      </c>
      <c r="N430">
        <v>19804.599999999999</v>
      </c>
      <c r="O430" s="1">
        <v>0.50939999999999996</v>
      </c>
      <c r="P430">
        <v>19075</v>
      </c>
      <c r="Q430" s="1">
        <v>0.49059999999999998</v>
      </c>
      <c r="R43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30" s="2">
        <f>Tabela_base[[#This Row],[Total Streams (in millions)]]-(Tabela_base[[#This Row],[Lead Streams (in millions)]]+Tabela_base[[#This Row],[Feature Streams (in millions)]])</f>
        <v>-15.099999999998545</v>
      </c>
    </row>
    <row r="431" spans="1:19" x14ac:dyDescent="0.3">
      <c r="A431" s="20">
        <v>430</v>
      </c>
      <c r="B431" t="s">
        <v>524</v>
      </c>
      <c r="C431" t="s">
        <v>17</v>
      </c>
      <c r="D431" t="s">
        <v>18</v>
      </c>
      <c r="E431" t="s">
        <v>19</v>
      </c>
      <c r="F431" t="s">
        <v>20</v>
      </c>
      <c r="G431" t="s">
        <v>23</v>
      </c>
      <c r="H431">
        <v>2001</v>
      </c>
      <c r="I431">
        <v>9084.9</v>
      </c>
      <c r="J431">
        <v>4560.6000000000004</v>
      </c>
      <c r="K431" s="1">
        <v>0.502</v>
      </c>
      <c r="L431">
        <v>4524.3</v>
      </c>
      <c r="M431" s="1">
        <v>0.498</v>
      </c>
      <c r="N431">
        <v>1805.2</v>
      </c>
      <c r="O431" s="1">
        <v>0.19869999999999999</v>
      </c>
      <c r="P431">
        <v>7279.7</v>
      </c>
      <c r="Q431" s="1">
        <v>0.80130000000000001</v>
      </c>
      <c r="R43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31" s="2">
        <f>Tabela_base[[#This Row],[Total Streams (in millions)]]-(Tabela_base[[#This Row],[Lead Streams (in millions)]]+Tabela_base[[#This Row],[Feature Streams (in millions)]])</f>
        <v>0</v>
      </c>
    </row>
    <row r="432" spans="1:19" x14ac:dyDescent="0.3">
      <c r="A432" s="20">
        <v>431</v>
      </c>
      <c r="B432" t="s">
        <v>525</v>
      </c>
      <c r="C432" t="s">
        <v>17</v>
      </c>
      <c r="D432" t="s">
        <v>18</v>
      </c>
      <c r="E432" t="s">
        <v>41</v>
      </c>
      <c r="F432" t="s">
        <v>42</v>
      </c>
      <c r="G432" t="s">
        <v>23</v>
      </c>
      <c r="H432">
        <v>2006</v>
      </c>
      <c r="I432">
        <v>10933.4</v>
      </c>
      <c r="J432">
        <v>10905.7</v>
      </c>
      <c r="K432" s="1">
        <v>0.99750000000000005</v>
      </c>
      <c r="L432">
        <v>38</v>
      </c>
      <c r="M432" s="1">
        <v>3.5000000000000001E-3</v>
      </c>
      <c r="N432">
        <v>8.1</v>
      </c>
      <c r="O432" s="1">
        <v>6.9999999999999999E-4</v>
      </c>
      <c r="P432">
        <v>10925.3</v>
      </c>
      <c r="Q432" s="1">
        <v>0.99929999999999997</v>
      </c>
      <c r="R43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32" s="2">
        <f>Tabela_base[[#This Row],[Total Streams (in millions)]]-(Tabela_base[[#This Row],[Lead Streams (in millions)]]+Tabela_base[[#This Row],[Feature Streams (in millions)]])</f>
        <v>-10.300000000001091</v>
      </c>
    </row>
    <row r="433" spans="1:19" x14ac:dyDescent="0.3">
      <c r="A433" s="20">
        <v>432</v>
      </c>
      <c r="B433" t="s">
        <v>526</v>
      </c>
      <c r="C433" t="s">
        <v>17</v>
      </c>
      <c r="D433" t="s">
        <v>28</v>
      </c>
      <c r="E433" t="s">
        <v>19</v>
      </c>
      <c r="F433" t="s">
        <v>29</v>
      </c>
      <c r="G433" t="s">
        <v>23</v>
      </c>
      <c r="H433">
        <v>2008</v>
      </c>
      <c r="I433">
        <v>14387.1</v>
      </c>
      <c r="J433">
        <v>13232.8</v>
      </c>
      <c r="K433" s="1">
        <v>0.91979999999999995</v>
      </c>
      <c r="L433">
        <v>1165.4000000000001</v>
      </c>
      <c r="M433" s="1">
        <v>8.1000000000000003E-2</v>
      </c>
      <c r="N433">
        <v>12678.8</v>
      </c>
      <c r="O433" s="1">
        <v>0.88129999999999997</v>
      </c>
      <c r="P433">
        <v>1708.3</v>
      </c>
      <c r="Q433" s="1">
        <v>0.1187</v>
      </c>
      <c r="R43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33" s="2">
        <f>Tabela_base[[#This Row],[Total Streams (in millions)]]-(Tabela_base[[#This Row],[Lead Streams (in millions)]]+Tabela_base[[#This Row],[Feature Streams (in millions)]])</f>
        <v>-11.099999999998545</v>
      </c>
    </row>
    <row r="434" spans="1:19" x14ac:dyDescent="0.3">
      <c r="A434" s="20">
        <v>433</v>
      </c>
      <c r="B434" t="s">
        <v>527</v>
      </c>
      <c r="C434" t="s">
        <v>17</v>
      </c>
      <c r="D434" t="s">
        <v>37</v>
      </c>
      <c r="E434" t="s">
        <v>68</v>
      </c>
      <c r="F434" t="s">
        <v>39</v>
      </c>
      <c r="G434" t="s">
        <v>23</v>
      </c>
      <c r="H434">
        <v>2015</v>
      </c>
      <c r="I434">
        <v>8733</v>
      </c>
      <c r="J434">
        <v>2987.7</v>
      </c>
      <c r="K434" s="1">
        <v>0.34210000000000002</v>
      </c>
      <c r="L434">
        <v>5745.3</v>
      </c>
      <c r="M434" s="1">
        <v>0.65790000000000004</v>
      </c>
      <c r="N434">
        <v>6.8</v>
      </c>
      <c r="O434" s="1">
        <v>8.0000000000000004E-4</v>
      </c>
      <c r="P434">
        <v>8726.2000000000007</v>
      </c>
      <c r="Q434" s="1">
        <v>0.99919999999999998</v>
      </c>
      <c r="R43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34" s="2">
        <f>Tabela_base[[#This Row],[Total Streams (in millions)]]-(Tabela_base[[#This Row],[Lead Streams (in millions)]]+Tabela_base[[#This Row],[Feature Streams (in millions)]])</f>
        <v>0</v>
      </c>
    </row>
    <row r="435" spans="1:19" x14ac:dyDescent="0.3">
      <c r="A435" s="20">
        <v>434</v>
      </c>
      <c r="B435" t="s">
        <v>528</v>
      </c>
      <c r="C435" t="s">
        <v>49</v>
      </c>
      <c r="D435" t="s">
        <v>62</v>
      </c>
      <c r="E435" t="s">
        <v>19</v>
      </c>
      <c r="F435" t="s">
        <v>46</v>
      </c>
      <c r="G435" t="s">
        <v>23</v>
      </c>
      <c r="H435">
        <v>2017</v>
      </c>
      <c r="I435">
        <v>18707.3</v>
      </c>
      <c r="J435">
        <v>16893.7</v>
      </c>
      <c r="K435" s="1">
        <v>0.90310000000000001</v>
      </c>
      <c r="L435">
        <v>1823.3</v>
      </c>
      <c r="M435" s="1">
        <v>9.7500000000000003E-2</v>
      </c>
      <c r="N435">
        <v>15280.9</v>
      </c>
      <c r="O435" s="1">
        <v>0.81679999999999997</v>
      </c>
      <c r="P435">
        <v>3426.4</v>
      </c>
      <c r="Q435" s="1">
        <v>0.1832</v>
      </c>
      <c r="R43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35" s="2">
        <f>Tabela_base[[#This Row],[Total Streams (in millions)]]-(Tabela_base[[#This Row],[Lead Streams (in millions)]]+Tabela_base[[#This Row],[Feature Streams (in millions)]])</f>
        <v>-9.7000000000007276</v>
      </c>
    </row>
    <row r="436" spans="1:19" x14ac:dyDescent="0.3">
      <c r="A436" s="20">
        <v>435</v>
      </c>
      <c r="B436" t="s">
        <v>529</v>
      </c>
      <c r="C436" t="s">
        <v>49</v>
      </c>
      <c r="D436" t="s">
        <v>18</v>
      </c>
      <c r="E436" t="s">
        <v>19</v>
      </c>
      <c r="F436" t="s">
        <v>46</v>
      </c>
      <c r="G436" t="s">
        <v>23</v>
      </c>
      <c r="H436">
        <v>2006</v>
      </c>
      <c r="I436">
        <v>127861</v>
      </c>
      <c r="J436">
        <v>126177.3</v>
      </c>
      <c r="K436" s="1">
        <v>0.98680000000000001</v>
      </c>
      <c r="L436">
        <v>1683.8</v>
      </c>
      <c r="M436" s="1">
        <v>1.32E-2</v>
      </c>
      <c r="N436">
        <v>113421.5</v>
      </c>
      <c r="O436" s="1">
        <v>0.8871</v>
      </c>
      <c r="P436">
        <v>14439.5</v>
      </c>
      <c r="Q436" s="1">
        <v>0.1129</v>
      </c>
      <c r="R43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36" s="2">
        <f>Tabela_base[[#This Row],[Total Streams (in millions)]]-(Tabela_base[[#This Row],[Lead Streams (in millions)]]+Tabela_base[[#This Row],[Feature Streams (in millions)]])</f>
        <v>-0.10000000000582077</v>
      </c>
    </row>
    <row r="437" spans="1:19" x14ac:dyDescent="0.3">
      <c r="A437" s="20">
        <v>436</v>
      </c>
      <c r="B437" t="s">
        <v>530</v>
      </c>
      <c r="C437" t="s">
        <v>17</v>
      </c>
      <c r="D437" t="s">
        <v>18</v>
      </c>
      <c r="E437" t="s">
        <v>19</v>
      </c>
      <c r="F437" t="s">
        <v>46</v>
      </c>
      <c r="G437" t="s">
        <v>23</v>
      </c>
      <c r="H437">
        <v>2019</v>
      </c>
      <c r="I437">
        <v>9177.5</v>
      </c>
      <c r="J437">
        <v>7949</v>
      </c>
      <c r="K437" s="1">
        <v>0.86609999999999998</v>
      </c>
      <c r="L437">
        <v>1236.7</v>
      </c>
      <c r="M437" s="1">
        <v>0.1348</v>
      </c>
      <c r="N437">
        <v>7238.3</v>
      </c>
      <c r="O437" s="1">
        <v>0.78869999999999996</v>
      </c>
      <c r="P437">
        <v>1939.2</v>
      </c>
      <c r="Q437" s="1">
        <v>0.21129999999999999</v>
      </c>
      <c r="R43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37" s="2">
        <f>Tabela_base[[#This Row],[Total Streams (in millions)]]-(Tabela_base[[#This Row],[Lead Streams (in millions)]]+Tabela_base[[#This Row],[Feature Streams (in millions)]])</f>
        <v>-8.2000000000007276</v>
      </c>
    </row>
    <row r="438" spans="1:19" x14ac:dyDescent="0.3">
      <c r="A438" s="20">
        <v>437</v>
      </c>
      <c r="B438" t="s">
        <v>531</v>
      </c>
      <c r="C438" t="s">
        <v>17</v>
      </c>
      <c r="D438" t="s">
        <v>25</v>
      </c>
      <c r="E438" t="s">
        <v>19</v>
      </c>
      <c r="F438" t="s">
        <v>29</v>
      </c>
      <c r="G438" t="s">
        <v>21</v>
      </c>
      <c r="H438">
        <v>2012</v>
      </c>
      <c r="I438">
        <v>10489.6</v>
      </c>
      <c r="J438">
        <v>10191.700000000001</v>
      </c>
      <c r="K438" s="1">
        <v>0.97160000000000002</v>
      </c>
      <c r="L438">
        <v>301.5</v>
      </c>
      <c r="M438" s="1">
        <v>2.87E-2</v>
      </c>
      <c r="N438">
        <v>10165.9</v>
      </c>
      <c r="O438" s="1">
        <v>0.96909999999999996</v>
      </c>
      <c r="P438">
        <v>323.7</v>
      </c>
      <c r="Q438" s="1">
        <v>3.09E-2</v>
      </c>
      <c r="R43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38" s="2">
        <f>Tabela_base[[#This Row],[Total Streams (in millions)]]-(Tabela_base[[#This Row],[Lead Streams (in millions)]]+Tabela_base[[#This Row],[Feature Streams (in millions)]])</f>
        <v>-3.6000000000003638</v>
      </c>
    </row>
    <row r="439" spans="1:19" x14ac:dyDescent="0.3">
      <c r="A439" s="20">
        <v>438</v>
      </c>
      <c r="B439" t="s">
        <v>532</v>
      </c>
      <c r="C439" t="s">
        <v>17</v>
      </c>
      <c r="D439" t="s">
        <v>25</v>
      </c>
      <c r="E439" t="s">
        <v>19</v>
      </c>
      <c r="F439" t="s">
        <v>29</v>
      </c>
      <c r="G439" t="s">
        <v>21</v>
      </c>
      <c r="H439">
        <v>1962</v>
      </c>
      <c r="I439">
        <v>26130.5</v>
      </c>
      <c r="J439">
        <v>26138.7</v>
      </c>
      <c r="K439" s="1">
        <v>1.0003</v>
      </c>
      <c r="L439">
        <v>2.2000000000000002</v>
      </c>
      <c r="M439" s="1">
        <v>1E-4</v>
      </c>
      <c r="N439">
        <v>26123</v>
      </c>
      <c r="O439" s="1">
        <v>0.99970000000000003</v>
      </c>
      <c r="P439">
        <v>7.5</v>
      </c>
      <c r="Q439" s="1">
        <v>2.9999999999999997E-4</v>
      </c>
      <c r="R43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439" s="2">
        <f>Tabela_base[[#This Row],[Total Streams (in millions)]]-(Tabela_base[[#This Row],[Lead Streams (in millions)]]+Tabela_base[[#This Row],[Feature Streams (in millions)]])</f>
        <v>-10.400000000001455</v>
      </c>
    </row>
    <row r="440" spans="1:19" x14ac:dyDescent="0.3">
      <c r="A440" s="20">
        <v>439</v>
      </c>
      <c r="B440" t="s">
        <v>533</v>
      </c>
      <c r="C440" t="s">
        <v>17</v>
      </c>
      <c r="D440" t="s">
        <v>18</v>
      </c>
      <c r="E440" t="s">
        <v>19</v>
      </c>
      <c r="F440" t="s">
        <v>55</v>
      </c>
      <c r="G440" t="s">
        <v>21</v>
      </c>
      <c r="H440">
        <v>2012</v>
      </c>
      <c r="I440">
        <v>23845.1</v>
      </c>
      <c r="J440">
        <v>22661.5</v>
      </c>
      <c r="K440" s="1">
        <v>0.95040000000000002</v>
      </c>
      <c r="L440">
        <v>1189.8</v>
      </c>
      <c r="M440" s="1">
        <v>4.99E-2</v>
      </c>
      <c r="N440">
        <v>3830.9</v>
      </c>
      <c r="O440" s="1">
        <v>0.16070000000000001</v>
      </c>
      <c r="P440">
        <v>20014.2</v>
      </c>
      <c r="Q440" s="1">
        <v>0.83930000000000005</v>
      </c>
      <c r="R44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40" s="2">
        <f>Tabela_base[[#This Row],[Total Streams (in millions)]]-(Tabela_base[[#This Row],[Lead Streams (in millions)]]+Tabela_base[[#This Row],[Feature Streams (in millions)]])</f>
        <v>-6.2000000000007276</v>
      </c>
    </row>
    <row r="441" spans="1:19" x14ac:dyDescent="0.3">
      <c r="A441" s="20">
        <v>440</v>
      </c>
      <c r="B441" t="s">
        <v>534</v>
      </c>
      <c r="C441" t="s">
        <v>17</v>
      </c>
      <c r="D441" t="s">
        <v>25</v>
      </c>
      <c r="E441" t="s">
        <v>19</v>
      </c>
      <c r="F441" t="s">
        <v>29</v>
      </c>
      <c r="G441" t="s">
        <v>21</v>
      </c>
      <c r="H441">
        <v>1979</v>
      </c>
      <c r="I441">
        <v>7034.1</v>
      </c>
      <c r="J441">
        <v>7035</v>
      </c>
      <c r="K441" s="1">
        <v>1.0001</v>
      </c>
      <c r="L441">
        <v>3.3</v>
      </c>
      <c r="M441" s="1">
        <v>5.0000000000000001E-4</v>
      </c>
      <c r="N441">
        <v>6940.1</v>
      </c>
      <c r="O441" s="1">
        <v>0.98660000000000003</v>
      </c>
      <c r="P441">
        <v>94</v>
      </c>
      <c r="Q441" s="1">
        <v>1.34E-2</v>
      </c>
      <c r="R44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441" s="2">
        <f>Tabela_base[[#This Row],[Total Streams (in millions)]]-(Tabela_base[[#This Row],[Lead Streams (in millions)]]+Tabela_base[[#This Row],[Feature Streams (in millions)]])</f>
        <v>-4.1999999999998181</v>
      </c>
    </row>
    <row r="442" spans="1:19" x14ac:dyDescent="0.3">
      <c r="A442" s="20">
        <v>441</v>
      </c>
      <c r="B442" t="s">
        <v>535</v>
      </c>
      <c r="C442" t="s">
        <v>17</v>
      </c>
      <c r="D442" t="s">
        <v>28</v>
      </c>
      <c r="E442" t="s">
        <v>19</v>
      </c>
      <c r="F442" t="s">
        <v>20</v>
      </c>
      <c r="G442" t="s">
        <v>23</v>
      </c>
      <c r="H442">
        <v>2018</v>
      </c>
      <c r="I442">
        <v>15561.7</v>
      </c>
      <c r="J442">
        <v>10487.9</v>
      </c>
      <c r="K442" s="1">
        <v>0.67400000000000004</v>
      </c>
      <c r="L442">
        <v>5077.6000000000004</v>
      </c>
      <c r="M442" s="1">
        <v>0.32629999999999998</v>
      </c>
      <c r="N442">
        <v>6776.1</v>
      </c>
      <c r="O442" s="1">
        <v>0.43540000000000001</v>
      </c>
      <c r="P442">
        <v>8785.6</v>
      </c>
      <c r="Q442" s="1">
        <v>0.56459999999999999</v>
      </c>
      <c r="R44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42" s="2">
        <f>Tabela_base[[#This Row],[Total Streams (in millions)]]-(Tabela_base[[#This Row],[Lead Streams (in millions)]]+Tabela_base[[#This Row],[Feature Streams (in millions)]])</f>
        <v>-3.7999999999992724</v>
      </c>
    </row>
    <row r="443" spans="1:19" x14ac:dyDescent="0.3">
      <c r="A443" s="20">
        <v>442</v>
      </c>
      <c r="B443" t="s">
        <v>536</v>
      </c>
      <c r="C443" t="s">
        <v>17</v>
      </c>
      <c r="D443" t="s">
        <v>18</v>
      </c>
      <c r="E443" t="s">
        <v>19</v>
      </c>
      <c r="F443" t="s">
        <v>29</v>
      </c>
      <c r="G443" t="s">
        <v>21</v>
      </c>
      <c r="H443">
        <v>2004</v>
      </c>
      <c r="I443">
        <v>10767.6</v>
      </c>
      <c r="J443">
        <v>1893.8</v>
      </c>
      <c r="K443" s="1">
        <v>0.1759</v>
      </c>
      <c r="L443">
        <v>8878.2000000000007</v>
      </c>
      <c r="M443" s="1">
        <v>0.82450000000000001</v>
      </c>
      <c r="N443">
        <v>10569.4</v>
      </c>
      <c r="O443" s="1">
        <v>0.98160000000000003</v>
      </c>
      <c r="P443">
        <v>198.2</v>
      </c>
      <c r="Q443" s="1">
        <v>1.84E-2</v>
      </c>
      <c r="R44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43" s="2">
        <f>Tabela_base[[#This Row],[Total Streams (in millions)]]-(Tabela_base[[#This Row],[Lead Streams (in millions)]]+Tabela_base[[#This Row],[Feature Streams (in millions)]])</f>
        <v>-4.3999999999996362</v>
      </c>
    </row>
    <row r="444" spans="1:19" x14ac:dyDescent="0.3">
      <c r="A444" s="20">
        <v>443</v>
      </c>
      <c r="B444" t="s">
        <v>537</v>
      </c>
      <c r="C444" t="s">
        <v>17</v>
      </c>
      <c r="D444" t="s">
        <v>18</v>
      </c>
      <c r="E444" t="s">
        <v>19</v>
      </c>
      <c r="F444" t="s">
        <v>133</v>
      </c>
      <c r="G444" t="s">
        <v>21</v>
      </c>
      <c r="H444">
        <v>2012</v>
      </c>
      <c r="I444">
        <v>9666.1</v>
      </c>
      <c r="J444">
        <v>9207.9</v>
      </c>
      <c r="K444" s="1">
        <v>0.9526</v>
      </c>
      <c r="L444">
        <v>460.8</v>
      </c>
      <c r="M444" s="1">
        <v>4.7699999999999999E-2</v>
      </c>
      <c r="N444">
        <v>9168.2999999999993</v>
      </c>
      <c r="O444" s="1">
        <v>0.94850000000000001</v>
      </c>
      <c r="P444">
        <v>497.8</v>
      </c>
      <c r="Q444" s="1">
        <v>5.1499999999999997E-2</v>
      </c>
      <c r="R44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44" s="2">
        <f>Tabela_base[[#This Row],[Total Streams (in millions)]]-(Tabela_base[[#This Row],[Lead Streams (in millions)]]+Tabela_base[[#This Row],[Feature Streams (in millions)]])</f>
        <v>-2.5999999999985448</v>
      </c>
    </row>
    <row r="445" spans="1:19" x14ac:dyDescent="0.3">
      <c r="A445" s="20">
        <v>444</v>
      </c>
      <c r="B445" t="s">
        <v>538</v>
      </c>
      <c r="C445" t="s">
        <v>44</v>
      </c>
      <c r="D445" t="s">
        <v>18</v>
      </c>
      <c r="E445" t="s">
        <v>19</v>
      </c>
      <c r="F445" t="s">
        <v>46</v>
      </c>
      <c r="G445" t="s">
        <v>21</v>
      </c>
      <c r="H445">
        <v>2017</v>
      </c>
      <c r="I445">
        <v>7029.1</v>
      </c>
      <c r="J445">
        <v>5774.4</v>
      </c>
      <c r="K445" s="1">
        <v>0.82150000000000001</v>
      </c>
      <c r="L445">
        <v>1261.4000000000001</v>
      </c>
      <c r="M445" s="1">
        <v>0.17949999999999999</v>
      </c>
      <c r="N445">
        <v>5705.9</v>
      </c>
      <c r="O445" s="1">
        <v>0.81179999999999997</v>
      </c>
      <c r="P445">
        <v>1323.2</v>
      </c>
      <c r="Q445" s="1">
        <v>0.18820000000000001</v>
      </c>
      <c r="R44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45" s="2">
        <f>Tabela_base[[#This Row],[Total Streams (in millions)]]-(Tabela_base[[#This Row],[Lead Streams (in millions)]]+Tabela_base[[#This Row],[Feature Streams (in millions)]])</f>
        <v>-6.6999999999989086</v>
      </c>
    </row>
    <row r="446" spans="1:19" x14ac:dyDescent="0.3">
      <c r="A446" s="20">
        <v>445</v>
      </c>
      <c r="B446" t="s">
        <v>539</v>
      </c>
      <c r="C446" t="s">
        <v>17</v>
      </c>
      <c r="D446" t="s">
        <v>18</v>
      </c>
      <c r="E446" t="s">
        <v>19</v>
      </c>
      <c r="F446" t="s">
        <v>101</v>
      </c>
      <c r="G446" t="s">
        <v>21</v>
      </c>
      <c r="H446">
        <v>2011</v>
      </c>
      <c r="I446">
        <v>19440.5</v>
      </c>
      <c r="J446">
        <v>19435.599999999999</v>
      </c>
      <c r="K446" s="1">
        <v>0.99970000000000003</v>
      </c>
      <c r="L446">
        <v>14.3</v>
      </c>
      <c r="M446" s="1">
        <v>6.9999999999999999E-4</v>
      </c>
      <c r="N446">
        <v>18793.5</v>
      </c>
      <c r="O446" s="1">
        <v>0.9667</v>
      </c>
      <c r="P446">
        <v>647</v>
      </c>
      <c r="Q446" s="1">
        <v>3.3300000000000003E-2</v>
      </c>
      <c r="R44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46" s="2">
        <f>Tabela_base[[#This Row],[Total Streams (in millions)]]-(Tabela_base[[#This Row],[Lead Streams (in millions)]]+Tabela_base[[#This Row],[Feature Streams (in millions)]])</f>
        <v>-9.3999999999978172</v>
      </c>
    </row>
    <row r="447" spans="1:19" x14ac:dyDescent="0.3">
      <c r="A447" s="20">
        <v>446</v>
      </c>
      <c r="B447" t="s">
        <v>540</v>
      </c>
      <c r="C447" t="s">
        <v>17</v>
      </c>
      <c r="D447" t="s">
        <v>18</v>
      </c>
      <c r="E447" t="s">
        <v>19</v>
      </c>
      <c r="F447" t="s">
        <v>20</v>
      </c>
      <c r="G447" t="s">
        <v>23</v>
      </c>
      <c r="H447">
        <v>1993</v>
      </c>
      <c r="I447">
        <v>10968.8</v>
      </c>
      <c r="J447">
        <v>5006.3999999999996</v>
      </c>
      <c r="K447" s="1">
        <v>0.45639999999999997</v>
      </c>
      <c r="L447">
        <v>5977.1</v>
      </c>
      <c r="M447" s="1">
        <v>0.54490000000000005</v>
      </c>
      <c r="N447">
        <v>7034.7</v>
      </c>
      <c r="O447" s="1">
        <v>0.64129999999999998</v>
      </c>
      <c r="P447">
        <v>3934.1</v>
      </c>
      <c r="Q447" s="1">
        <v>0.35870000000000002</v>
      </c>
      <c r="R44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47" s="2">
        <f>Tabela_base[[#This Row],[Total Streams (in millions)]]-(Tabela_base[[#This Row],[Lead Streams (in millions)]]+Tabela_base[[#This Row],[Feature Streams (in millions)]])</f>
        <v>-14.700000000000728</v>
      </c>
    </row>
    <row r="448" spans="1:19" x14ac:dyDescent="0.3">
      <c r="A448" s="20">
        <v>447</v>
      </c>
      <c r="B448" t="s">
        <v>541</v>
      </c>
      <c r="C448" t="s">
        <v>17</v>
      </c>
      <c r="D448" t="s">
        <v>18</v>
      </c>
      <c r="E448" t="s">
        <v>19</v>
      </c>
      <c r="F448" t="s">
        <v>29</v>
      </c>
      <c r="G448" t="s">
        <v>21</v>
      </c>
      <c r="H448">
        <v>1989</v>
      </c>
      <c r="I448">
        <v>8330.4</v>
      </c>
      <c r="J448">
        <v>8328.6</v>
      </c>
      <c r="K448" s="1">
        <v>0.99980000000000002</v>
      </c>
      <c r="L448">
        <v>5.6</v>
      </c>
      <c r="M448" s="1">
        <v>6.9999999999999999E-4</v>
      </c>
      <c r="N448">
        <v>8188.5</v>
      </c>
      <c r="O448" s="1">
        <v>0.98299999999999998</v>
      </c>
      <c r="P448">
        <v>141.9</v>
      </c>
      <c r="Q448" s="1">
        <v>1.7000000000000001E-2</v>
      </c>
      <c r="R44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48" s="2">
        <f>Tabela_base[[#This Row],[Total Streams (in millions)]]-(Tabela_base[[#This Row],[Lead Streams (in millions)]]+Tabela_base[[#This Row],[Feature Streams (in millions)]])</f>
        <v>-3.8000000000010914</v>
      </c>
    </row>
    <row r="449" spans="1:19" x14ac:dyDescent="0.3">
      <c r="A449" s="20">
        <v>448</v>
      </c>
      <c r="B449" t="s">
        <v>542</v>
      </c>
      <c r="C449" t="s">
        <v>17</v>
      </c>
      <c r="D449" t="s">
        <v>25</v>
      </c>
      <c r="E449" t="s">
        <v>19</v>
      </c>
      <c r="F449" t="s">
        <v>29</v>
      </c>
      <c r="G449" t="s">
        <v>21</v>
      </c>
      <c r="H449">
        <v>1977</v>
      </c>
      <c r="I449">
        <v>7976.6</v>
      </c>
      <c r="J449">
        <v>7980.4</v>
      </c>
      <c r="K449" s="1">
        <v>1.0004999999999999</v>
      </c>
      <c r="L449">
        <v>0.6</v>
      </c>
      <c r="M449" s="1">
        <v>1E-4</v>
      </c>
      <c r="N449">
        <v>7960.2</v>
      </c>
      <c r="O449" s="1">
        <v>0.99790000000000001</v>
      </c>
      <c r="P449">
        <v>16.399999999999999</v>
      </c>
      <c r="Q449" s="1">
        <v>2.0999999999999999E-3</v>
      </c>
      <c r="R44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449" s="2">
        <f>Tabela_base[[#This Row],[Total Streams (in millions)]]-(Tabela_base[[#This Row],[Lead Streams (in millions)]]+Tabela_base[[#This Row],[Feature Streams (in millions)]])</f>
        <v>-4.3999999999996362</v>
      </c>
    </row>
    <row r="450" spans="1:19" x14ac:dyDescent="0.3">
      <c r="A450" s="20">
        <v>449</v>
      </c>
      <c r="B450" t="s">
        <v>543</v>
      </c>
      <c r="C450" t="s">
        <v>17</v>
      </c>
      <c r="D450" t="s">
        <v>25</v>
      </c>
      <c r="E450" t="s">
        <v>19</v>
      </c>
      <c r="F450" t="s">
        <v>29</v>
      </c>
      <c r="G450" t="s">
        <v>21</v>
      </c>
      <c r="H450">
        <v>1964</v>
      </c>
      <c r="I450">
        <v>12566.2</v>
      </c>
      <c r="J450">
        <v>4905.7</v>
      </c>
      <c r="K450" s="1">
        <v>0.39040000000000002</v>
      </c>
      <c r="L450">
        <v>7658.9</v>
      </c>
      <c r="M450" s="1">
        <v>0.60950000000000004</v>
      </c>
      <c r="N450">
        <v>12335.7</v>
      </c>
      <c r="O450" s="1">
        <v>0.98170000000000002</v>
      </c>
      <c r="P450">
        <v>230.5</v>
      </c>
      <c r="Q450" s="1">
        <v>1.83E-2</v>
      </c>
      <c r="R45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50" s="2">
        <f>Tabela_base[[#This Row],[Total Streams (in millions)]]-(Tabela_base[[#This Row],[Lead Streams (in millions)]]+Tabela_base[[#This Row],[Feature Streams (in millions)]])</f>
        <v>1.6000000000021828</v>
      </c>
    </row>
    <row r="451" spans="1:19" x14ac:dyDescent="0.3">
      <c r="A451" s="20">
        <v>450</v>
      </c>
      <c r="B451" t="s">
        <v>544</v>
      </c>
      <c r="C451" t="s">
        <v>17</v>
      </c>
      <c r="D451" t="s">
        <v>268</v>
      </c>
      <c r="E451" t="s">
        <v>19</v>
      </c>
      <c r="F451" t="s">
        <v>29</v>
      </c>
      <c r="G451" t="s">
        <v>21</v>
      </c>
      <c r="H451">
        <v>2008</v>
      </c>
      <c r="I451">
        <v>8509.5</v>
      </c>
      <c r="J451">
        <v>8483.9</v>
      </c>
      <c r="K451" s="1">
        <v>0.997</v>
      </c>
      <c r="L451">
        <v>29.2</v>
      </c>
      <c r="M451" s="1">
        <v>3.3999999999999998E-3</v>
      </c>
      <c r="N451">
        <v>6435.4</v>
      </c>
      <c r="O451" s="1">
        <v>0.75629999999999997</v>
      </c>
      <c r="P451">
        <v>2074.1</v>
      </c>
      <c r="Q451" s="1">
        <v>0.2437</v>
      </c>
      <c r="R45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51" s="2">
        <f>Tabela_base[[#This Row],[Total Streams (in millions)]]-(Tabela_base[[#This Row],[Lead Streams (in millions)]]+Tabela_base[[#This Row],[Feature Streams (in millions)]])</f>
        <v>-3.6000000000003638</v>
      </c>
    </row>
    <row r="452" spans="1:19" x14ac:dyDescent="0.3">
      <c r="A452" s="20">
        <v>451</v>
      </c>
      <c r="B452" t="s">
        <v>545</v>
      </c>
      <c r="C452" t="s">
        <v>17</v>
      </c>
      <c r="D452" t="s">
        <v>25</v>
      </c>
      <c r="E452" t="s">
        <v>19</v>
      </c>
      <c r="F452" t="s">
        <v>29</v>
      </c>
      <c r="G452" t="s">
        <v>21</v>
      </c>
      <c r="H452">
        <v>1983</v>
      </c>
      <c r="I452">
        <v>8014.7</v>
      </c>
      <c r="J452">
        <v>8019.1</v>
      </c>
      <c r="K452" s="1">
        <v>1.0004999999999999</v>
      </c>
      <c r="L452">
        <v>0</v>
      </c>
      <c r="M452" s="1">
        <v>0</v>
      </c>
      <c r="N452">
        <v>8014.7</v>
      </c>
      <c r="O452" s="1">
        <v>1</v>
      </c>
      <c r="P452">
        <v>0</v>
      </c>
      <c r="Q452" s="1">
        <v>0</v>
      </c>
      <c r="R45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452" s="2">
        <f>Tabela_base[[#This Row],[Total Streams (in millions)]]-(Tabela_base[[#This Row],[Lead Streams (in millions)]]+Tabela_base[[#This Row],[Feature Streams (in millions)]])</f>
        <v>-4.4000000000005457</v>
      </c>
    </row>
    <row r="453" spans="1:19" x14ac:dyDescent="0.3">
      <c r="A453" s="20">
        <v>452</v>
      </c>
      <c r="B453" t="s">
        <v>546</v>
      </c>
      <c r="C453" t="s">
        <v>17</v>
      </c>
      <c r="D453" t="s">
        <v>18</v>
      </c>
      <c r="E453" t="s">
        <v>19</v>
      </c>
      <c r="F453" t="s">
        <v>29</v>
      </c>
      <c r="G453" t="s">
        <v>21</v>
      </c>
      <c r="H453">
        <v>2001</v>
      </c>
      <c r="I453">
        <v>7934.8</v>
      </c>
      <c r="J453">
        <v>4641.5</v>
      </c>
      <c r="K453" s="1">
        <v>0.58499999999999996</v>
      </c>
      <c r="L453">
        <v>3299.4</v>
      </c>
      <c r="M453" s="1">
        <v>0.4158</v>
      </c>
      <c r="N453">
        <v>7901.6</v>
      </c>
      <c r="O453" s="1">
        <v>0.99580000000000002</v>
      </c>
      <c r="P453">
        <v>33.200000000000003</v>
      </c>
      <c r="Q453" s="1">
        <v>4.1999999999999997E-3</v>
      </c>
      <c r="R45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53" s="2">
        <f>Tabela_base[[#This Row],[Total Streams (in millions)]]-(Tabela_base[[#This Row],[Lead Streams (in millions)]]+Tabela_base[[#This Row],[Feature Streams (in millions)]])</f>
        <v>-6.0999999999994543</v>
      </c>
    </row>
    <row r="454" spans="1:19" x14ac:dyDescent="0.3">
      <c r="A454" s="20">
        <v>453</v>
      </c>
      <c r="B454" t="s">
        <v>547</v>
      </c>
      <c r="C454" t="s">
        <v>17</v>
      </c>
      <c r="D454" t="s">
        <v>62</v>
      </c>
      <c r="E454" t="s">
        <v>19</v>
      </c>
      <c r="F454" t="s">
        <v>33</v>
      </c>
      <c r="G454" t="s">
        <v>23</v>
      </c>
      <c r="H454">
        <v>2009</v>
      </c>
      <c r="I454">
        <v>95703.2</v>
      </c>
      <c r="J454">
        <v>77189.399999999994</v>
      </c>
      <c r="K454" s="1">
        <v>0.80649999999999999</v>
      </c>
      <c r="L454">
        <v>18513.8</v>
      </c>
      <c r="M454" s="1">
        <v>0.19350000000000001</v>
      </c>
      <c r="N454">
        <v>51020</v>
      </c>
      <c r="O454" s="1">
        <v>0.53310000000000002</v>
      </c>
      <c r="P454">
        <v>44683.199999999997</v>
      </c>
      <c r="Q454" s="1">
        <v>0.46689999999999998</v>
      </c>
      <c r="R45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54" s="2">
        <f>Tabela_base[[#This Row],[Total Streams (in millions)]]-(Tabela_base[[#This Row],[Lead Streams (in millions)]]+Tabela_base[[#This Row],[Feature Streams (in millions)]])</f>
        <v>0</v>
      </c>
    </row>
    <row r="455" spans="1:19" x14ac:dyDescent="0.3">
      <c r="A455" s="20">
        <v>454</v>
      </c>
      <c r="B455" t="s">
        <v>548</v>
      </c>
      <c r="C455" t="s">
        <v>17</v>
      </c>
      <c r="D455" t="s">
        <v>18</v>
      </c>
      <c r="E455" t="s">
        <v>19</v>
      </c>
      <c r="F455" t="s">
        <v>171</v>
      </c>
      <c r="G455" t="s">
        <v>23</v>
      </c>
      <c r="H455">
        <v>2012</v>
      </c>
      <c r="I455">
        <v>7337.5</v>
      </c>
      <c r="J455">
        <v>3928</v>
      </c>
      <c r="K455" s="1">
        <v>0.5353</v>
      </c>
      <c r="L455">
        <v>3422.3</v>
      </c>
      <c r="M455" s="1">
        <v>0.46639999999999998</v>
      </c>
      <c r="N455">
        <v>5340.9</v>
      </c>
      <c r="O455" s="1">
        <v>0.72789999999999999</v>
      </c>
      <c r="P455">
        <v>1996.6</v>
      </c>
      <c r="Q455" s="1">
        <v>0.27210000000000001</v>
      </c>
      <c r="R45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55" s="2">
        <f>Tabela_base[[#This Row],[Total Streams (in millions)]]-(Tabela_base[[#This Row],[Lead Streams (in millions)]]+Tabela_base[[#This Row],[Feature Streams (in millions)]])</f>
        <v>-12.800000000000182</v>
      </c>
    </row>
    <row r="456" spans="1:19" x14ac:dyDescent="0.3">
      <c r="A456" s="20">
        <v>455</v>
      </c>
      <c r="B456" t="s">
        <v>549</v>
      </c>
      <c r="C456" t="s">
        <v>17</v>
      </c>
      <c r="D456" t="s">
        <v>62</v>
      </c>
      <c r="E456" t="s">
        <v>19</v>
      </c>
      <c r="F456" t="s">
        <v>29</v>
      </c>
      <c r="G456" t="s">
        <v>21</v>
      </c>
      <c r="H456">
        <v>2003</v>
      </c>
      <c r="I456">
        <v>8203</v>
      </c>
      <c r="J456">
        <v>7983.1</v>
      </c>
      <c r="K456" s="1">
        <v>0.97319999999999995</v>
      </c>
      <c r="L456">
        <v>224.9</v>
      </c>
      <c r="M456" s="1">
        <v>2.7400000000000001E-2</v>
      </c>
      <c r="N456">
        <v>7947.8</v>
      </c>
      <c r="O456" s="1">
        <v>0.96889999999999998</v>
      </c>
      <c r="P456">
        <v>255.2</v>
      </c>
      <c r="Q456" s="1">
        <v>3.1099999999999999E-2</v>
      </c>
      <c r="R45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56" s="2">
        <f>Tabela_base[[#This Row],[Total Streams (in millions)]]-(Tabela_base[[#This Row],[Lead Streams (in millions)]]+Tabela_base[[#This Row],[Feature Streams (in millions)]])</f>
        <v>-5</v>
      </c>
    </row>
    <row r="457" spans="1:19" x14ac:dyDescent="0.3">
      <c r="A457" s="20">
        <v>456</v>
      </c>
      <c r="B457" t="s">
        <v>550</v>
      </c>
      <c r="C457" t="s">
        <v>17</v>
      </c>
      <c r="D457" t="s">
        <v>394</v>
      </c>
      <c r="E457" t="s">
        <v>19</v>
      </c>
      <c r="F457" t="s">
        <v>55</v>
      </c>
      <c r="G457" t="s">
        <v>23</v>
      </c>
      <c r="H457">
        <v>1994</v>
      </c>
      <c r="I457">
        <v>18217.099999999999</v>
      </c>
      <c r="J457">
        <v>13653.1</v>
      </c>
      <c r="K457" s="1">
        <v>0.74950000000000006</v>
      </c>
      <c r="L457">
        <v>4569.1000000000004</v>
      </c>
      <c r="M457" s="1">
        <v>0.25080000000000002</v>
      </c>
      <c r="N457">
        <v>3490.5</v>
      </c>
      <c r="O457" s="1">
        <v>0.19159999999999999</v>
      </c>
      <c r="P457">
        <v>14726.6</v>
      </c>
      <c r="Q457" s="1">
        <v>0.80840000000000001</v>
      </c>
      <c r="R45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57" s="2">
        <f>Tabela_base[[#This Row],[Total Streams (in millions)]]-(Tabela_base[[#This Row],[Lead Streams (in millions)]]+Tabela_base[[#This Row],[Feature Streams (in millions)]])</f>
        <v>-5.1000000000021828</v>
      </c>
    </row>
    <row r="458" spans="1:19" x14ac:dyDescent="0.3">
      <c r="A458" s="20">
        <v>457</v>
      </c>
      <c r="B458" t="s">
        <v>551</v>
      </c>
      <c r="C458" t="s">
        <v>17</v>
      </c>
      <c r="D458" t="s">
        <v>120</v>
      </c>
      <c r="E458" t="s">
        <v>41</v>
      </c>
      <c r="F458" t="s">
        <v>20</v>
      </c>
      <c r="G458" t="s">
        <v>23</v>
      </c>
      <c r="H458">
        <v>2018</v>
      </c>
      <c r="I458">
        <v>7377.9</v>
      </c>
      <c r="J458">
        <v>4274.5</v>
      </c>
      <c r="K458" s="1">
        <v>0.57940000000000003</v>
      </c>
      <c r="L458">
        <v>3113.3</v>
      </c>
      <c r="M458" s="1">
        <v>0.42199999999999999</v>
      </c>
      <c r="N458">
        <v>716.5</v>
      </c>
      <c r="O458" s="1">
        <v>9.7100000000000006E-2</v>
      </c>
      <c r="P458">
        <v>6661.4</v>
      </c>
      <c r="Q458" s="1">
        <v>0.90290000000000004</v>
      </c>
      <c r="R45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58" s="2">
        <f>Tabela_base[[#This Row],[Total Streams (in millions)]]-(Tabela_base[[#This Row],[Lead Streams (in millions)]]+Tabela_base[[#This Row],[Feature Streams (in millions)]])</f>
        <v>-9.9000000000005457</v>
      </c>
    </row>
    <row r="459" spans="1:19" x14ac:dyDescent="0.3">
      <c r="A459" s="20">
        <v>458</v>
      </c>
      <c r="B459" t="s">
        <v>552</v>
      </c>
      <c r="C459" t="s">
        <v>17</v>
      </c>
      <c r="D459" t="s">
        <v>18</v>
      </c>
      <c r="E459" t="s">
        <v>19</v>
      </c>
      <c r="F459" t="s">
        <v>20</v>
      </c>
      <c r="G459" t="s">
        <v>23</v>
      </c>
      <c r="H459">
        <v>1997</v>
      </c>
      <c r="I459">
        <v>9734</v>
      </c>
      <c r="J459">
        <v>4314.3</v>
      </c>
      <c r="K459" s="1">
        <v>0.44319999999999998</v>
      </c>
      <c r="L459">
        <v>5425.4</v>
      </c>
      <c r="M459" s="1">
        <v>0.55740000000000001</v>
      </c>
      <c r="N459">
        <v>31</v>
      </c>
      <c r="O459" s="1">
        <v>3.2000000000000002E-3</v>
      </c>
      <c r="P459">
        <v>9703</v>
      </c>
      <c r="Q459" s="1">
        <v>0.99680000000000002</v>
      </c>
      <c r="R45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59" s="2">
        <f>Tabela_base[[#This Row],[Total Streams (in millions)]]-(Tabela_base[[#This Row],[Lead Streams (in millions)]]+Tabela_base[[#This Row],[Feature Streams (in millions)]])</f>
        <v>-5.7000000000007276</v>
      </c>
    </row>
    <row r="460" spans="1:19" x14ac:dyDescent="0.3">
      <c r="A460" s="20">
        <v>459</v>
      </c>
      <c r="B460" t="s">
        <v>553</v>
      </c>
      <c r="C460" t="s">
        <v>49</v>
      </c>
      <c r="D460" t="s">
        <v>120</v>
      </c>
      <c r="E460" t="s">
        <v>41</v>
      </c>
      <c r="F460" t="s">
        <v>46</v>
      </c>
      <c r="G460" t="s">
        <v>23</v>
      </c>
      <c r="H460">
        <v>2016</v>
      </c>
      <c r="I460">
        <v>8507.9</v>
      </c>
      <c r="J460">
        <v>5811.9</v>
      </c>
      <c r="K460" s="1">
        <v>0.68310000000000004</v>
      </c>
      <c r="L460">
        <v>2696</v>
      </c>
      <c r="M460" s="1">
        <v>0.31690000000000002</v>
      </c>
      <c r="N460">
        <v>1929.8</v>
      </c>
      <c r="O460" s="1">
        <v>0.2268</v>
      </c>
      <c r="P460">
        <v>6578.1</v>
      </c>
      <c r="Q460" s="1">
        <v>0.7732</v>
      </c>
      <c r="R46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60" s="2">
        <f>Tabela_base[[#This Row],[Total Streams (in millions)]]-(Tabela_base[[#This Row],[Lead Streams (in millions)]]+Tabela_base[[#This Row],[Feature Streams (in millions)]])</f>
        <v>0</v>
      </c>
    </row>
    <row r="461" spans="1:19" x14ac:dyDescent="0.3">
      <c r="A461" s="20">
        <v>460</v>
      </c>
      <c r="B461" t="s">
        <v>554</v>
      </c>
      <c r="C461" t="s">
        <v>17</v>
      </c>
      <c r="D461" t="s">
        <v>57</v>
      </c>
      <c r="E461" t="s">
        <v>41</v>
      </c>
      <c r="F461" t="s">
        <v>65</v>
      </c>
      <c r="G461" t="s">
        <v>23</v>
      </c>
      <c r="H461">
        <v>2023</v>
      </c>
      <c r="I461">
        <v>14166.6</v>
      </c>
      <c r="J461">
        <v>7969.4</v>
      </c>
      <c r="K461" s="1">
        <v>0.5625</v>
      </c>
      <c r="L461">
        <v>6215.6</v>
      </c>
      <c r="M461" s="1">
        <v>0.43880000000000002</v>
      </c>
      <c r="N461">
        <v>3646.4</v>
      </c>
      <c r="O461" s="1">
        <v>0.25740000000000002</v>
      </c>
      <c r="P461">
        <v>10520.2</v>
      </c>
      <c r="Q461" s="1">
        <v>0.74260000000000004</v>
      </c>
      <c r="R46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61" s="2">
        <f>Tabela_base[[#This Row],[Total Streams (in millions)]]-(Tabela_base[[#This Row],[Lead Streams (in millions)]]+Tabela_base[[#This Row],[Feature Streams (in millions)]])</f>
        <v>-18.399999999999636</v>
      </c>
    </row>
    <row r="462" spans="1:19" x14ac:dyDescent="0.3">
      <c r="A462" s="20">
        <v>461</v>
      </c>
      <c r="B462" t="s">
        <v>555</v>
      </c>
      <c r="C462" t="s">
        <v>17</v>
      </c>
      <c r="D462" t="s">
        <v>25</v>
      </c>
      <c r="E462" t="s">
        <v>19</v>
      </c>
      <c r="F462" t="s">
        <v>46</v>
      </c>
      <c r="G462" t="s">
        <v>23</v>
      </c>
      <c r="H462">
        <v>2012</v>
      </c>
      <c r="I462">
        <v>7352.6</v>
      </c>
      <c r="J462">
        <v>3894</v>
      </c>
      <c r="K462" s="1">
        <v>0.52959999999999996</v>
      </c>
      <c r="L462">
        <v>3483.8</v>
      </c>
      <c r="M462" s="1">
        <v>0.4738</v>
      </c>
      <c r="N462">
        <v>6069.3</v>
      </c>
      <c r="O462" s="1">
        <v>0.82550000000000001</v>
      </c>
      <c r="P462">
        <v>1283.3</v>
      </c>
      <c r="Q462" s="1">
        <v>0.17449999999999999</v>
      </c>
      <c r="R46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62" s="2">
        <f>Tabela_base[[#This Row],[Total Streams (in millions)]]-(Tabela_base[[#This Row],[Lead Streams (in millions)]]+Tabela_base[[#This Row],[Feature Streams (in millions)]])</f>
        <v>-25.199999999999818</v>
      </c>
    </row>
    <row r="463" spans="1:19" x14ac:dyDescent="0.3">
      <c r="A463" s="20">
        <v>462</v>
      </c>
      <c r="B463" t="s">
        <v>556</v>
      </c>
      <c r="C463" t="s">
        <v>17</v>
      </c>
      <c r="D463" t="s">
        <v>124</v>
      </c>
      <c r="E463" t="s">
        <v>125</v>
      </c>
      <c r="F463" t="s">
        <v>126</v>
      </c>
      <c r="G463" t="s">
        <v>21</v>
      </c>
      <c r="H463">
        <v>2019</v>
      </c>
      <c r="I463">
        <v>7182.1</v>
      </c>
      <c r="J463">
        <v>6877.5</v>
      </c>
      <c r="K463" s="1">
        <v>0.95760000000000001</v>
      </c>
      <c r="L463">
        <v>304.7</v>
      </c>
      <c r="M463" s="1">
        <v>4.24E-2</v>
      </c>
      <c r="N463">
        <v>6118.4</v>
      </c>
      <c r="O463" s="1">
        <v>0.85189999999999999</v>
      </c>
      <c r="P463">
        <v>1063.7</v>
      </c>
      <c r="Q463" s="1">
        <v>0.14810000000000001</v>
      </c>
      <c r="R46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63" s="2">
        <f>Tabela_base[[#This Row],[Total Streams (in millions)]]-(Tabela_base[[#This Row],[Lead Streams (in millions)]]+Tabela_base[[#This Row],[Feature Streams (in millions)]])</f>
        <v>-9.9999999999454303E-2</v>
      </c>
    </row>
    <row r="464" spans="1:19" x14ac:dyDescent="0.3">
      <c r="A464" s="20">
        <v>463</v>
      </c>
      <c r="B464" t="s">
        <v>557</v>
      </c>
      <c r="C464" t="s">
        <v>17</v>
      </c>
      <c r="D464" t="s">
        <v>62</v>
      </c>
      <c r="E464" t="s">
        <v>19</v>
      </c>
      <c r="F464" t="s">
        <v>20</v>
      </c>
      <c r="G464" t="s">
        <v>23</v>
      </c>
      <c r="H464">
        <v>2009</v>
      </c>
      <c r="I464">
        <v>16021.1</v>
      </c>
      <c r="J464">
        <v>11602.1</v>
      </c>
      <c r="K464" s="1">
        <v>0.72419999999999995</v>
      </c>
      <c r="L464">
        <v>4424.8</v>
      </c>
      <c r="M464" s="1">
        <v>0.2762</v>
      </c>
      <c r="N464">
        <v>8229.4</v>
      </c>
      <c r="O464" s="1">
        <v>0.51370000000000005</v>
      </c>
      <c r="P464">
        <v>7791.7</v>
      </c>
      <c r="Q464" s="1">
        <v>0.48630000000000001</v>
      </c>
      <c r="R46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64" s="2">
        <f>Tabela_base[[#This Row],[Total Streams (in millions)]]-(Tabela_base[[#This Row],[Lead Streams (in millions)]]+Tabela_base[[#This Row],[Feature Streams (in millions)]])</f>
        <v>-5.8000000000010914</v>
      </c>
    </row>
    <row r="465" spans="1:19" x14ac:dyDescent="0.3">
      <c r="A465" s="20">
        <v>464</v>
      </c>
      <c r="B465" t="s">
        <v>558</v>
      </c>
      <c r="C465" t="s">
        <v>49</v>
      </c>
      <c r="D465" t="s">
        <v>45</v>
      </c>
      <c r="E465" t="s">
        <v>19</v>
      </c>
      <c r="F465" t="s">
        <v>46</v>
      </c>
      <c r="G465" t="s">
        <v>23</v>
      </c>
      <c r="H465">
        <v>2006</v>
      </c>
      <c r="I465">
        <v>8809.4</v>
      </c>
      <c r="J465">
        <v>5689.4</v>
      </c>
      <c r="K465" s="1">
        <v>0.64580000000000004</v>
      </c>
      <c r="L465">
        <v>3122.8</v>
      </c>
      <c r="M465" s="1">
        <v>0.35449999999999998</v>
      </c>
      <c r="N465">
        <v>4223.1000000000004</v>
      </c>
      <c r="O465" s="1">
        <v>0.47939999999999999</v>
      </c>
      <c r="P465">
        <v>4586.3</v>
      </c>
      <c r="Q465" s="1">
        <v>0.52059999999999995</v>
      </c>
      <c r="R46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65" s="2">
        <f>Tabela_base[[#This Row],[Total Streams (in millions)]]-(Tabela_base[[#This Row],[Lead Streams (in millions)]]+Tabela_base[[#This Row],[Feature Streams (in millions)]])</f>
        <v>-2.8000000000010914</v>
      </c>
    </row>
    <row r="466" spans="1:19" x14ac:dyDescent="0.3">
      <c r="A466" s="20">
        <v>465</v>
      </c>
      <c r="B466" t="s">
        <v>559</v>
      </c>
      <c r="C466" t="s">
        <v>17</v>
      </c>
      <c r="D466" t="s">
        <v>18</v>
      </c>
      <c r="E466" t="s">
        <v>19</v>
      </c>
      <c r="F466" t="s">
        <v>33</v>
      </c>
      <c r="G466" t="s">
        <v>23</v>
      </c>
      <c r="H466">
        <v>2005</v>
      </c>
      <c r="I466">
        <v>11238.2</v>
      </c>
      <c r="J466">
        <v>4609.5</v>
      </c>
      <c r="K466" s="1">
        <v>0.41020000000000001</v>
      </c>
      <c r="L466">
        <v>6628.7</v>
      </c>
      <c r="M466" s="1">
        <v>0.58979999999999999</v>
      </c>
      <c r="N466">
        <v>839.9</v>
      </c>
      <c r="O466" s="1">
        <v>7.4700000000000003E-2</v>
      </c>
      <c r="P466">
        <v>10398.299999999999</v>
      </c>
      <c r="Q466" s="1">
        <v>0.92530000000000001</v>
      </c>
      <c r="R46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66" s="2">
        <f>Tabela_base[[#This Row],[Total Streams (in millions)]]-(Tabela_base[[#This Row],[Lead Streams (in millions)]]+Tabela_base[[#This Row],[Feature Streams (in millions)]])</f>
        <v>0</v>
      </c>
    </row>
    <row r="467" spans="1:19" x14ac:dyDescent="0.3">
      <c r="A467" s="20">
        <v>466</v>
      </c>
      <c r="B467" t="s">
        <v>560</v>
      </c>
      <c r="C467" t="s">
        <v>17</v>
      </c>
      <c r="D467" t="s">
        <v>18</v>
      </c>
      <c r="E467" t="s">
        <v>19</v>
      </c>
      <c r="F467" t="s">
        <v>20</v>
      </c>
      <c r="G467" t="s">
        <v>23</v>
      </c>
      <c r="H467">
        <v>2013</v>
      </c>
      <c r="I467">
        <v>65349.7</v>
      </c>
      <c r="J467">
        <v>35338.699999999997</v>
      </c>
      <c r="K467" s="1">
        <v>0.54079999999999995</v>
      </c>
      <c r="L467">
        <v>30027</v>
      </c>
      <c r="M467" s="1">
        <v>0.45950000000000002</v>
      </c>
      <c r="N467">
        <v>25309.9</v>
      </c>
      <c r="O467" s="1">
        <v>0.38729999999999998</v>
      </c>
      <c r="P467">
        <v>40039.800000000003</v>
      </c>
      <c r="Q467" s="1">
        <v>0.61270000000000002</v>
      </c>
      <c r="R46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67" s="2">
        <f>Tabela_base[[#This Row],[Total Streams (in millions)]]-(Tabela_base[[#This Row],[Lead Streams (in millions)]]+Tabela_base[[#This Row],[Feature Streams (in millions)]])</f>
        <v>-16</v>
      </c>
    </row>
    <row r="468" spans="1:19" x14ac:dyDescent="0.3">
      <c r="A468" s="20">
        <v>467</v>
      </c>
      <c r="B468" t="s">
        <v>561</v>
      </c>
      <c r="C468" t="s">
        <v>17</v>
      </c>
      <c r="D468" t="s">
        <v>18</v>
      </c>
      <c r="E468" t="s">
        <v>19</v>
      </c>
      <c r="F468" t="s">
        <v>20</v>
      </c>
      <c r="G468" t="s">
        <v>23</v>
      </c>
      <c r="H468">
        <v>2016</v>
      </c>
      <c r="I468">
        <v>18889.599999999999</v>
      </c>
      <c r="J468">
        <v>11762.8</v>
      </c>
      <c r="K468" s="1">
        <v>0.62270000000000003</v>
      </c>
      <c r="L468">
        <v>7126.8</v>
      </c>
      <c r="M468" s="1">
        <v>0.37730000000000002</v>
      </c>
      <c r="N468">
        <v>5822.1</v>
      </c>
      <c r="O468" s="1">
        <v>0.30819999999999997</v>
      </c>
      <c r="P468">
        <v>13067.5</v>
      </c>
      <c r="Q468" s="1">
        <v>0.69179999999999997</v>
      </c>
      <c r="R46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68" s="2">
        <f>Tabela_base[[#This Row],[Total Streams (in millions)]]-(Tabela_base[[#This Row],[Lead Streams (in millions)]]+Tabela_base[[#This Row],[Feature Streams (in millions)]])</f>
        <v>0</v>
      </c>
    </row>
    <row r="469" spans="1:19" x14ac:dyDescent="0.3">
      <c r="A469" s="20">
        <v>468</v>
      </c>
      <c r="B469" t="s">
        <v>562</v>
      </c>
      <c r="C469" t="s">
        <v>17</v>
      </c>
      <c r="D469" t="s">
        <v>563</v>
      </c>
      <c r="E469" t="s">
        <v>19</v>
      </c>
      <c r="F469" t="s">
        <v>46</v>
      </c>
      <c r="G469" t="s">
        <v>23</v>
      </c>
      <c r="H469">
        <v>2006</v>
      </c>
      <c r="I469">
        <v>10332.799999999999</v>
      </c>
      <c r="J469">
        <v>7323</v>
      </c>
      <c r="K469" s="1">
        <v>0.7087</v>
      </c>
      <c r="L469">
        <v>3009.8</v>
      </c>
      <c r="M469" s="1">
        <v>0.2913</v>
      </c>
      <c r="N469">
        <v>6153.5</v>
      </c>
      <c r="O469" s="1">
        <v>0.59550000000000003</v>
      </c>
      <c r="P469">
        <v>4179.3</v>
      </c>
      <c r="Q469" s="1">
        <v>0.40450000000000003</v>
      </c>
      <c r="R46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69" s="2">
        <f>Tabela_base[[#This Row],[Total Streams (in millions)]]-(Tabela_base[[#This Row],[Lead Streams (in millions)]]+Tabela_base[[#This Row],[Feature Streams (in millions)]])</f>
        <v>0</v>
      </c>
    </row>
    <row r="470" spans="1:19" x14ac:dyDescent="0.3">
      <c r="A470" s="20">
        <v>469</v>
      </c>
      <c r="B470" t="s">
        <v>564</v>
      </c>
      <c r="C470" t="s">
        <v>17</v>
      </c>
      <c r="D470" t="s">
        <v>18</v>
      </c>
      <c r="E470" t="s">
        <v>19</v>
      </c>
      <c r="F470" t="s">
        <v>46</v>
      </c>
      <c r="G470" t="s">
        <v>21</v>
      </c>
      <c r="H470">
        <v>2010</v>
      </c>
      <c r="I470">
        <v>8779.9</v>
      </c>
      <c r="J470">
        <v>7850.9</v>
      </c>
      <c r="K470" s="1">
        <v>0.89419999999999999</v>
      </c>
      <c r="L470">
        <v>932.8</v>
      </c>
      <c r="M470" s="1">
        <v>0.1062</v>
      </c>
      <c r="N470">
        <v>8155.1</v>
      </c>
      <c r="O470" s="1">
        <v>0.92879999999999996</v>
      </c>
      <c r="P470">
        <v>624.79999999999995</v>
      </c>
      <c r="Q470" s="1">
        <v>7.1199999999999999E-2</v>
      </c>
      <c r="R47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70" s="2">
        <f>Tabela_base[[#This Row],[Total Streams (in millions)]]-(Tabela_base[[#This Row],[Lead Streams (in millions)]]+Tabela_base[[#This Row],[Feature Streams (in millions)]])</f>
        <v>-3.7999999999992724</v>
      </c>
    </row>
    <row r="471" spans="1:19" x14ac:dyDescent="0.3">
      <c r="A471" s="20">
        <v>470</v>
      </c>
      <c r="B471" t="s">
        <v>565</v>
      </c>
      <c r="C471" t="s">
        <v>17</v>
      </c>
      <c r="D471" t="s">
        <v>18</v>
      </c>
      <c r="E471" t="s">
        <v>19</v>
      </c>
      <c r="F471" t="s">
        <v>101</v>
      </c>
      <c r="G471" t="s">
        <v>21</v>
      </c>
      <c r="H471">
        <v>2009</v>
      </c>
      <c r="I471">
        <v>22475.8</v>
      </c>
      <c r="J471">
        <v>22215.200000000001</v>
      </c>
      <c r="K471" s="1">
        <v>0.98839999999999995</v>
      </c>
      <c r="L471">
        <v>269.10000000000002</v>
      </c>
      <c r="M471" s="1">
        <v>1.2E-2</v>
      </c>
      <c r="N471">
        <v>22142.6</v>
      </c>
      <c r="O471" s="1">
        <v>0.98519999999999996</v>
      </c>
      <c r="P471">
        <v>333.2</v>
      </c>
      <c r="Q471" s="1">
        <v>1.4800000000000001E-2</v>
      </c>
      <c r="R47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71" s="2">
        <f>Tabela_base[[#This Row],[Total Streams (in millions)]]-(Tabela_base[[#This Row],[Lead Streams (in millions)]]+Tabela_base[[#This Row],[Feature Streams (in millions)]])</f>
        <v>-8.5</v>
      </c>
    </row>
    <row r="472" spans="1:19" x14ac:dyDescent="0.3">
      <c r="A472" s="20">
        <v>471</v>
      </c>
      <c r="B472" t="s">
        <v>566</v>
      </c>
      <c r="C472" t="s">
        <v>49</v>
      </c>
      <c r="D472" t="s">
        <v>124</v>
      </c>
      <c r="E472" t="s">
        <v>125</v>
      </c>
      <c r="F472" t="s">
        <v>126</v>
      </c>
      <c r="G472" t="s">
        <v>21</v>
      </c>
      <c r="H472">
        <v>2015</v>
      </c>
      <c r="I472">
        <v>12716.2</v>
      </c>
      <c r="J472">
        <v>2648.7</v>
      </c>
      <c r="K472" s="1">
        <v>0.20830000000000001</v>
      </c>
      <c r="L472">
        <v>10073.4</v>
      </c>
      <c r="M472" s="1">
        <v>0.79220000000000002</v>
      </c>
      <c r="N472">
        <v>12242.6</v>
      </c>
      <c r="O472" s="1">
        <v>0.96279999999999999</v>
      </c>
      <c r="P472">
        <v>473.6</v>
      </c>
      <c r="Q472" s="1">
        <v>3.7199999999999997E-2</v>
      </c>
      <c r="R47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72" s="2">
        <f>Tabela_base[[#This Row],[Total Streams (in millions)]]-(Tabela_base[[#This Row],[Lead Streams (in millions)]]+Tabela_base[[#This Row],[Feature Streams (in millions)]])</f>
        <v>-5.8999999999978172</v>
      </c>
    </row>
    <row r="473" spans="1:19" x14ac:dyDescent="0.3">
      <c r="A473" s="20">
        <v>472</v>
      </c>
      <c r="B473" t="s">
        <v>567</v>
      </c>
      <c r="C473" t="s">
        <v>17</v>
      </c>
      <c r="D473" t="s">
        <v>18</v>
      </c>
      <c r="E473" t="s">
        <v>19</v>
      </c>
      <c r="F473" t="s">
        <v>33</v>
      </c>
      <c r="G473" t="s">
        <v>23</v>
      </c>
      <c r="H473">
        <v>2011</v>
      </c>
      <c r="I473">
        <v>26465.200000000001</v>
      </c>
      <c r="J473">
        <v>5073.8</v>
      </c>
      <c r="K473" s="1">
        <v>0.19170000000000001</v>
      </c>
      <c r="L473">
        <v>21394.799999999999</v>
      </c>
      <c r="M473" s="1">
        <v>0.80840000000000001</v>
      </c>
      <c r="N473">
        <v>318.39999999999998</v>
      </c>
      <c r="O473" s="1">
        <v>1.2E-2</v>
      </c>
      <c r="P473">
        <v>26146.799999999999</v>
      </c>
      <c r="Q473" s="1">
        <v>0.98799999999999999</v>
      </c>
      <c r="R47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73" s="2">
        <f>Tabela_base[[#This Row],[Total Streams (in millions)]]-(Tabela_base[[#This Row],[Lead Streams (in millions)]]+Tabela_base[[#This Row],[Feature Streams (in millions)]])</f>
        <v>-3.3999999999978172</v>
      </c>
    </row>
    <row r="474" spans="1:19" x14ac:dyDescent="0.3">
      <c r="A474" s="20">
        <v>473</v>
      </c>
      <c r="B474" t="s">
        <v>568</v>
      </c>
      <c r="C474" t="s">
        <v>17</v>
      </c>
      <c r="D474" t="s">
        <v>18</v>
      </c>
      <c r="E474" t="s">
        <v>19</v>
      </c>
      <c r="F474" t="s">
        <v>20</v>
      </c>
      <c r="G474" t="s">
        <v>23</v>
      </c>
      <c r="H474">
        <v>2008</v>
      </c>
      <c r="I474">
        <v>18064.3</v>
      </c>
      <c r="J474">
        <v>7403</v>
      </c>
      <c r="K474" s="1">
        <v>0.4098</v>
      </c>
      <c r="L474">
        <v>10664.8</v>
      </c>
      <c r="M474" s="1">
        <v>0.59040000000000004</v>
      </c>
      <c r="N474">
        <v>2757.4</v>
      </c>
      <c r="O474" s="1">
        <v>0.15260000000000001</v>
      </c>
      <c r="P474">
        <v>15306.9</v>
      </c>
      <c r="Q474" s="1">
        <v>0.84740000000000004</v>
      </c>
      <c r="R47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74" s="2">
        <f>Tabela_base[[#This Row],[Total Streams (in millions)]]-(Tabela_base[[#This Row],[Lead Streams (in millions)]]+Tabela_base[[#This Row],[Feature Streams (in millions)]])</f>
        <v>-3.5</v>
      </c>
    </row>
    <row r="475" spans="1:19" x14ac:dyDescent="0.3">
      <c r="A475" s="20">
        <v>474</v>
      </c>
      <c r="B475" t="s">
        <v>569</v>
      </c>
      <c r="C475" t="s">
        <v>17</v>
      </c>
      <c r="D475" t="s">
        <v>18</v>
      </c>
      <c r="E475" t="s">
        <v>19</v>
      </c>
      <c r="F475" t="s">
        <v>20</v>
      </c>
      <c r="G475" t="s">
        <v>23</v>
      </c>
      <c r="H475">
        <v>2009</v>
      </c>
      <c r="I475">
        <v>27125.8</v>
      </c>
      <c r="J475">
        <v>23925.9</v>
      </c>
      <c r="K475" s="1">
        <v>0.88200000000000001</v>
      </c>
      <c r="L475">
        <v>3208.7</v>
      </c>
      <c r="M475" s="1">
        <v>0.1183</v>
      </c>
      <c r="N475">
        <v>11656.5</v>
      </c>
      <c r="O475" s="1">
        <v>0.42970000000000003</v>
      </c>
      <c r="P475">
        <v>15469.3</v>
      </c>
      <c r="Q475" s="1">
        <v>0.57030000000000003</v>
      </c>
      <c r="R47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75" s="2">
        <f>Tabela_base[[#This Row],[Total Streams (in millions)]]-(Tabela_base[[#This Row],[Lead Streams (in millions)]]+Tabela_base[[#This Row],[Feature Streams (in millions)]])</f>
        <v>-8.8000000000029104</v>
      </c>
    </row>
    <row r="476" spans="1:19" x14ac:dyDescent="0.3">
      <c r="A476" s="20">
        <v>475</v>
      </c>
      <c r="B476" t="s">
        <v>570</v>
      </c>
      <c r="C476" t="s">
        <v>17</v>
      </c>
      <c r="D476" t="s">
        <v>268</v>
      </c>
      <c r="E476" t="s">
        <v>19</v>
      </c>
      <c r="F476" t="s">
        <v>29</v>
      </c>
      <c r="G476" t="s">
        <v>21</v>
      </c>
      <c r="H476">
        <v>1979</v>
      </c>
      <c r="I476">
        <v>10616.1</v>
      </c>
      <c r="J476">
        <v>10020.5</v>
      </c>
      <c r="K476" s="1">
        <v>0.94389999999999996</v>
      </c>
      <c r="L476">
        <v>599.29999999999995</v>
      </c>
      <c r="M476" s="1">
        <v>5.6500000000000002E-2</v>
      </c>
      <c r="N476">
        <v>9771.2999999999993</v>
      </c>
      <c r="O476" s="1">
        <v>0.9204</v>
      </c>
      <c r="P476">
        <v>844.8</v>
      </c>
      <c r="Q476" s="1">
        <v>7.9600000000000004E-2</v>
      </c>
      <c r="R47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76" s="2">
        <f>Tabela_base[[#This Row],[Total Streams (in millions)]]-(Tabela_base[[#This Row],[Lead Streams (in millions)]]+Tabela_base[[#This Row],[Feature Streams (in millions)]])</f>
        <v>-3.6999999999989086</v>
      </c>
    </row>
    <row r="477" spans="1:19" x14ac:dyDescent="0.3">
      <c r="A477" s="20">
        <v>476</v>
      </c>
      <c r="B477" t="s">
        <v>571</v>
      </c>
      <c r="C477" t="s">
        <v>17</v>
      </c>
      <c r="D477" t="s">
        <v>572</v>
      </c>
      <c r="E477" t="s">
        <v>68</v>
      </c>
      <c r="F477" t="s">
        <v>39</v>
      </c>
      <c r="G477" t="s">
        <v>23</v>
      </c>
      <c r="H477">
        <v>1980</v>
      </c>
      <c r="I477">
        <v>8186.9</v>
      </c>
      <c r="J477">
        <v>3408.5</v>
      </c>
      <c r="K477" s="1">
        <v>0.4163</v>
      </c>
      <c r="L477">
        <v>4789.5</v>
      </c>
      <c r="M477" s="1">
        <v>0.58499999999999996</v>
      </c>
      <c r="N477">
        <v>515.9</v>
      </c>
      <c r="O477" s="1">
        <v>6.3E-2</v>
      </c>
      <c r="P477">
        <v>7671</v>
      </c>
      <c r="Q477" s="1">
        <v>0.93700000000000006</v>
      </c>
      <c r="R47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77" s="2">
        <f>Tabela_base[[#This Row],[Total Streams (in millions)]]-(Tabela_base[[#This Row],[Lead Streams (in millions)]]+Tabela_base[[#This Row],[Feature Streams (in millions)]])</f>
        <v>-11.100000000000364</v>
      </c>
    </row>
    <row r="478" spans="1:19" x14ac:dyDescent="0.3">
      <c r="A478" s="20">
        <v>477</v>
      </c>
      <c r="B478" t="s">
        <v>573</v>
      </c>
      <c r="C478" t="s">
        <v>17</v>
      </c>
      <c r="D478" t="s">
        <v>18</v>
      </c>
      <c r="E478" t="s">
        <v>19</v>
      </c>
      <c r="F478" t="s">
        <v>33</v>
      </c>
      <c r="G478" t="s">
        <v>23</v>
      </c>
      <c r="H478">
        <v>1994</v>
      </c>
      <c r="I478">
        <v>18413.2</v>
      </c>
      <c r="J478">
        <v>12525.4</v>
      </c>
      <c r="K478" s="1">
        <v>0.68020000000000003</v>
      </c>
      <c r="L478">
        <v>5896.3</v>
      </c>
      <c r="M478" s="1">
        <v>0.32019999999999998</v>
      </c>
      <c r="N478">
        <v>5222.1000000000004</v>
      </c>
      <c r="O478" s="1">
        <v>0.28360000000000002</v>
      </c>
      <c r="P478">
        <v>13191.1</v>
      </c>
      <c r="Q478" s="1">
        <v>0.71640000000000004</v>
      </c>
      <c r="R47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78" s="2">
        <f>Tabela_base[[#This Row],[Total Streams (in millions)]]-(Tabela_base[[#This Row],[Lead Streams (in millions)]]+Tabela_base[[#This Row],[Feature Streams (in millions)]])</f>
        <v>-8.5</v>
      </c>
    </row>
    <row r="479" spans="1:19" x14ac:dyDescent="0.3">
      <c r="A479" s="20">
        <v>478</v>
      </c>
      <c r="B479" t="s">
        <v>574</v>
      </c>
      <c r="C479" t="s">
        <v>17</v>
      </c>
      <c r="D479" t="s">
        <v>28</v>
      </c>
      <c r="E479" t="s">
        <v>19</v>
      </c>
      <c r="F479" t="s">
        <v>133</v>
      </c>
      <c r="G479" t="s">
        <v>23</v>
      </c>
      <c r="H479">
        <v>2013</v>
      </c>
      <c r="I479">
        <v>8092.2</v>
      </c>
      <c r="J479">
        <v>7918.7</v>
      </c>
      <c r="K479" s="1">
        <v>0.97860000000000003</v>
      </c>
      <c r="L479">
        <v>176.9</v>
      </c>
      <c r="M479" s="1">
        <v>2.1899999999999999E-2</v>
      </c>
      <c r="N479">
        <v>7804.3</v>
      </c>
      <c r="O479" s="1">
        <v>0.96440000000000003</v>
      </c>
      <c r="P479">
        <v>287.89999999999998</v>
      </c>
      <c r="Q479" s="1">
        <v>3.56E-2</v>
      </c>
      <c r="R47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79" s="2">
        <f>Tabela_base[[#This Row],[Total Streams (in millions)]]-(Tabela_base[[#This Row],[Lead Streams (in millions)]]+Tabela_base[[#This Row],[Feature Streams (in millions)]])</f>
        <v>-3.3999999999996362</v>
      </c>
    </row>
    <row r="480" spans="1:19" x14ac:dyDescent="0.3">
      <c r="A480" s="20">
        <v>479</v>
      </c>
      <c r="B480" t="s">
        <v>575</v>
      </c>
      <c r="C480" t="s">
        <v>17</v>
      </c>
      <c r="D480" t="s">
        <v>57</v>
      </c>
      <c r="E480" t="s">
        <v>41</v>
      </c>
      <c r="F480" t="s">
        <v>65</v>
      </c>
      <c r="G480" t="s">
        <v>23</v>
      </c>
      <c r="H480">
        <v>1966</v>
      </c>
      <c r="I480">
        <v>8205.4</v>
      </c>
      <c r="J480">
        <v>8009</v>
      </c>
      <c r="K480" s="1">
        <v>0.97609999999999997</v>
      </c>
      <c r="L480">
        <v>204.5</v>
      </c>
      <c r="M480" s="1">
        <v>2.4899999999999999E-2</v>
      </c>
      <c r="N480">
        <v>7878.1</v>
      </c>
      <c r="O480" s="1">
        <v>0.96009999999999995</v>
      </c>
      <c r="P480">
        <v>327.3</v>
      </c>
      <c r="Q480" s="1">
        <v>3.9899999999999998E-2</v>
      </c>
      <c r="R48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80" s="2">
        <f>Tabela_base[[#This Row],[Total Streams (in millions)]]-(Tabela_base[[#This Row],[Lead Streams (in millions)]]+Tabela_base[[#This Row],[Feature Streams (in millions)]])</f>
        <v>-8.1000000000003638</v>
      </c>
    </row>
    <row r="481" spans="1:19" x14ac:dyDescent="0.3">
      <c r="A481" s="20">
        <v>480</v>
      </c>
      <c r="B481" t="s">
        <v>576</v>
      </c>
      <c r="C481" t="s">
        <v>17</v>
      </c>
      <c r="D481" t="s">
        <v>37</v>
      </c>
      <c r="E481" t="s">
        <v>68</v>
      </c>
      <c r="F481" t="s">
        <v>39</v>
      </c>
      <c r="G481" t="s">
        <v>21</v>
      </c>
      <c r="H481">
        <v>1999</v>
      </c>
      <c r="I481">
        <v>10165</v>
      </c>
      <c r="J481">
        <v>8858.9</v>
      </c>
      <c r="K481" s="1">
        <v>0.87150000000000005</v>
      </c>
      <c r="L481">
        <v>1312.6</v>
      </c>
      <c r="M481" s="1">
        <v>0.12909999999999999</v>
      </c>
      <c r="N481">
        <v>6.7</v>
      </c>
      <c r="O481" s="1">
        <v>6.9999999999999999E-4</v>
      </c>
      <c r="P481">
        <v>10158.299999999999</v>
      </c>
      <c r="Q481" s="1">
        <v>0.99929999999999997</v>
      </c>
      <c r="R48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81" s="2">
        <f>Tabela_base[[#This Row],[Total Streams (in millions)]]-(Tabela_base[[#This Row],[Lead Streams (in millions)]]+Tabela_base[[#This Row],[Feature Streams (in millions)]])</f>
        <v>-6.5</v>
      </c>
    </row>
    <row r="482" spans="1:19" x14ac:dyDescent="0.3">
      <c r="A482" s="20">
        <v>481</v>
      </c>
      <c r="B482" t="s">
        <v>577</v>
      </c>
      <c r="C482" t="s">
        <v>17</v>
      </c>
      <c r="D482" t="s">
        <v>70</v>
      </c>
      <c r="E482" t="s">
        <v>71</v>
      </c>
      <c r="F482" t="s">
        <v>58</v>
      </c>
      <c r="G482" t="s">
        <v>23</v>
      </c>
      <c r="H482">
        <v>2003</v>
      </c>
      <c r="I482">
        <v>7618.8</v>
      </c>
      <c r="J482">
        <v>5257.8</v>
      </c>
      <c r="K482" s="1">
        <v>0.69010000000000005</v>
      </c>
      <c r="L482">
        <v>2361</v>
      </c>
      <c r="M482" s="1">
        <v>0.30990000000000001</v>
      </c>
      <c r="N482">
        <v>2908.3</v>
      </c>
      <c r="O482" s="1">
        <v>0.38169999999999998</v>
      </c>
      <c r="P482">
        <v>4710.5</v>
      </c>
      <c r="Q482" s="1">
        <v>0.61829999999999996</v>
      </c>
      <c r="R48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82" s="2">
        <f>Tabela_base[[#This Row],[Total Streams (in millions)]]-(Tabela_base[[#This Row],[Lead Streams (in millions)]]+Tabela_base[[#This Row],[Feature Streams (in millions)]])</f>
        <v>0</v>
      </c>
    </row>
    <row r="483" spans="1:19" x14ac:dyDescent="0.3">
      <c r="A483" s="20">
        <v>482</v>
      </c>
      <c r="B483" t="s">
        <v>578</v>
      </c>
      <c r="C483" t="s">
        <v>49</v>
      </c>
      <c r="D483" t="s">
        <v>18</v>
      </c>
      <c r="E483" t="s">
        <v>19</v>
      </c>
      <c r="F483" t="s">
        <v>33</v>
      </c>
      <c r="G483" t="s">
        <v>23</v>
      </c>
      <c r="H483">
        <v>1985</v>
      </c>
      <c r="I483">
        <v>8828.7999999999993</v>
      </c>
      <c r="J483">
        <v>7564.4</v>
      </c>
      <c r="K483" s="1">
        <v>0.85680000000000001</v>
      </c>
      <c r="L483">
        <v>1267.8</v>
      </c>
      <c r="M483" s="1">
        <v>0.14360000000000001</v>
      </c>
      <c r="N483">
        <v>6762.6</v>
      </c>
      <c r="O483" s="1">
        <v>0.76600000000000001</v>
      </c>
      <c r="P483">
        <v>2066.1999999999998</v>
      </c>
      <c r="Q483" s="1">
        <v>0.23400000000000001</v>
      </c>
      <c r="R48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83" s="2">
        <f>Tabela_base[[#This Row],[Total Streams (in millions)]]-(Tabela_base[[#This Row],[Lead Streams (in millions)]]+Tabela_base[[#This Row],[Feature Streams (in millions)]])</f>
        <v>-3.3999999999996362</v>
      </c>
    </row>
    <row r="484" spans="1:19" x14ac:dyDescent="0.3">
      <c r="A484" s="20">
        <v>483</v>
      </c>
      <c r="B484" t="s">
        <v>579</v>
      </c>
      <c r="C484" t="s">
        <v>17</v>
      </c>
      <c r="D484" t="s">
        <v>18</v>
      </c>
      <c r="E484" t="s">
        <v>41</v>
      </c>
      <c r="F484" t="s">
        <v>42</v>
      </c>
      <c r="G484" t="s">
        <v>23</v>
      </c>
      <c r="H484">
        <v>2000</v>
      </c>
      <c r="I484">
        <v>13273.4</v>
      </c>
      <c r="J484">
        <v>4702.2</v>
      </c>
      <c r="K484" s="1">
        <v>0.3543</v>
      </c>
      <c r="L484">
        <v>8580.5</v>
      </c>
      <c r="M484" s="1">
        <v>0.64639999999999997</v>
      </c>
      <c r="N484">
        <v>575.4</v>
      </c>
      <c r="O484" s="1">
        <v>4.3299999999999998E-2</v>
      </c>
      <c r="P484">
        <v>12698</v>
      </c>
      <c r="Q484" s="1">
        <v>0.95669999999999999</v>
      </c>
      <c r="R48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84" s="2">
        <f>Tabela_base[[#This Row],[Total Streams (in millions)]]-(Tabela_base[[#This Row],[Lead Streams (in millions)]]+Tabela_base[[#This Row],[Feature Streams (in millions)]])</f>
        <v>-9.3000000000010914</v>
      </c>
    </row>
    <row r="485" spans="1:19" x14ac:dyDescent="0.3">
      <c r="A485" s="20">
        <v>484</v>
      </c>
      <c r="B485" t="s">
        <v>580</v>
      </c>
      <c r="C485" t="s">
        <v>17</v>
      </c>
      <c r="D485" t="s">
        <v>18</v>
      </c>
      <c r="E485" t="s">
        <v>41</v>
      </c>
      <c r="F485" t="s">
        <v>42</v>
      </c>
      <c r="G485" t="s">
        <v>21</v>
      </c>
      <c r="H485">
        <v>1998</v>
      </c>
      <c r="I485">
        <v>13323.2</v>
      </c>
      <c r="J485">
        <v>8971.1</v>
      </c>
      <c r="K485" s="1">
        <v>0.67330000000000001</v>
      </c>
      <c r="L485">
        <v>4360.5</v>
      </c>
      <c r="M485" s="1">
        <v>0.32729999999999998</v>
      </c>
      <c r="N485">
        <v>5734.4</v>
      </c>
      <c r="O485" s="1">
        <v>0.4304</v>
      </c>
      <c r="P485">
        <v>7588.8</v>
      </c>
      <c r="Q485" s="1">
        <v>0.5696</v>
      </c>
      <c r="R48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85" s="2">
        <f>Tabela_base[[#This Row],[Total Streams (in millions)]]-(Tabela_base[[#This Row],[Lead Streams (in millions)]]+Tabela_base[[#This Row],[Feature Streams (in millions)]])</f>
        <v>-8.3999999999996362</v>
      </c>
    </row>
    <row r="486" spans="1:19" x14ac:dyDescent="0.3">
      <c r="A486" s="20">
        <v>485</v>
      </c>
      <c r="B486" t="s">
        <v>581</v>
      </c>
      <c r="C486" t="s">
        <v>17</v>
      </c>
      <c r="D486" t="s">
        <v>18</v>
      </c>
      <c r="E486" t="s">
        <v>19</v>
      </c>
      <c r="F486" t="s">
        <v>20</v>
      </c>
      <c r="G486" t="s">
        <v>23</v>
      </c>
      <c r="H486">
        <v>2006</v>
      </c>
      <c r="I486">
        <v>25289.9</v>
      </c>
      <c r="J486">
        <v>11748.9</v>
      </c>
      <c r="K486" s="1">
        <v>0.46460000000000001</v>
      </c>
      <c r="L486">
        <v>13549.3</v>
      </c>
      <c r="M486" s="1">
        <v>0.53580000000000005</v>
      </c>
      <c r="N486">
        <v>4844.5</v>
      </c>
      <c r="O486" s="1">
        <v>0.19159999999999999</v>
      </c>
      <c r="P486">
        <v>20445.400000000001</v>
      </c>
      <c r="Q486" s="1">
        <v>0.80840000000000001</v>
      </c>
      <c r="R48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86" s="2">
        <f>Tabela_base[[#This Row],[Total Streams (in millions)]]-(Tabela_base[[#This Row],[Lead Streams (in millions)]]+Tabela_base[[#This Row],[Feature Streams (in millions)]])</f>
        <v>-8.2999999999956344</v>
      </c>
    </row>
    <row r="487" spans="1:19" x14ac:dyDescent="0.3">
      <c r="A487" s="20">
        <v>486</v>
      </c>
      <c r="B487" t="s">
        <v>582</v>
      </c>
      <c r="C487" t="s">
        <v>17</v>
      </c>
      <c r="D487" t="s">
        <v>147</v>
      </c>
      <c r="E487" t="s">
        <v>19</v>
      </c>
      <c r="F487" t="s">
        <v>148</v>
      </c>
      <c r="G487" t="s">
        <v>23</v>
      </c>
      <c r="H487">
        <v>2011</v>
      </c>
      <c r="I487">
        <v>11149</v>
      </c>
      <c r="J487">
        <v>3260</v>
      </c>
      <c r="K487" s="1">
        <v>0.29239999999999999</v>
      </c>
      <c r="L487">
        <v>7882.2</v>
      </c>
      <c r="M487" s="1">
        <v>0.70699999999999996</v>
      </c>
      <c r="N487">
        <v>1292</v>
      </c>
      <c r="O487" s="1">
        <v>0.1159</v>
      </c>
      <c r="P487">
        <v>9857</v>
      </c>
      <c r="Q487" s="1">
        <v>0.8841</v>
      </c>
      <c r="R48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87" s="2">
        <f>Tabela_base[[#This Row],[Total Streams (in millions)]]-(Tabela_base[[#This Row],[Lead Streams (in millions)]]+Tabela_base[[#This Row],[Feature Streams (in millions)]])</f>
        <v>6.7999999999992724</v>
      </c>
    </row>
    <row r="488" spans="1:19" x14ac:dyDescent="0.3">
      <c r="A488" s="20">
        <v>487</v>
      </c>
      <c r="B488" t="s">
        <v>583</v>
      </c>
      <c r="C488" t="s">
        <v>17</v>
      </c>
      <c r="D488" t="s">
        <v>18</v>
      </c>
      <c r="E488" t="s">
        <v>19</v>
      </c>
      <c r="F488" t="s">
        <v>20</v>
      </c>
      <c r="G488" t="s">
        <v>23</v>
      </c>
      <c r="H488">
        <v>2013</v>
      </c>
      <c r="I488">
        <v>40411.300000000003</v>
      </c>
      <c r="J488">
        <v>34419.9</v>
      </c>
      <c r="K488" s="1">
        <v>0.85170000000000001</v>
      </c>
      <c r="L488">
        <v>5998.9</v>
      </c>
      <c r="M488" s="1">
        <v>0.1484</v>
      </c>
      <c r="N488">
        <v>28138.400000000001</v>
      </c>
      <c r="O488" s="1">
        <v>0.69630000000000003</v>
      </c>
      <c r="P488">
        <v>12272.9</v>
      </c>
      <c r="Q488" s="1">
        <v>0.30370000000000003</v>
      </c>
      <c r="R48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88" s="2">
        <f>Tabela_base[[#This Row],[Total Streams (in millions)]]-(Tabela_base[[#This Row],[Lead Streams (in millions)]]+Tabela_base[[#This Row],[Feature Streams (in millions)]])</f>
        <v>-7.5</v>
      </c>
    </row>
    <row r="489" spans="1:19" x14ac:dyDescent="0.3">
      <c r="A489" s="20">
        <v>488</v>
      </c>
      <c r="B489" t="s">
        <v>584</v>
      </c>
      <c r="C489" t="s">
        <v>17</v>
      </c>
      <c r="D489" t="s">
        <v>18</v>
      </c>
      <c r="E489" t="s">
        <v>41</v>
      </c>
      <c r="F489" t="s">
        <v>42</v>
      </c>
      <c r="G489" t="s">
        <v>23</v>
      </c>
      <c r="H489">
        <v>2003</v>
      </c>
      <c r="I489">
        <v>12929.7</v>
      </c>
      <c r="J489">
        <v>5938.5</v>
      </c>
      <c r="K489" s="1">
        <v>0.45929999999999999</v>
      </c>
      <c r="L489">
        <v>6997.8</v>
      </c>
      <c r="M489" s="1">
        <v>0.54120000000000001</v>
      </c>
      <c r="N489">
        <v>1490.1</v>
      </c>
      <c r="O489" s="1">
        <v>0.1152</v>
      </c>
      <c r="P489">
        <v>11439.6</v>
      </c>
      <c r="Q489" s="1">
        <v>0.88480000000000003</v>
      </c>
      <c r="R48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89" s="2">
        <f>Tabela_base[[#This Row],[Total Streams (in millions)]]-(Tabela_base[[#This Row],[Lead Streams (in millions)]]+Tabela_base[[#This Row],[Feature Streams (in millions)]])</f>
        <v>-6.5999999999985448</v>
      </c>
    </row>
    <row r="490" spans="1:19" x14ac:dyDescent="0.3">
      <c r="A490" s="20">
        <v>489</v>
      </c>
      <c r="B490" t="s">
        <v>585</v>
      </c>
      <c r="C490" t="s">
        <v>17</v>
      </c>
      <c r="D490" t="s">
        <v>18</v>
      </c>
      <c r="E490" t="s">
        <v>19</v>
      </c>
      <c r="F490" t="s">
        <v>20</v>
      </c>
      <c r="G490" t="s">
        <v>23</v>
      </c>
      <c r="H490">
        <v>2015</v>
      </c>
      <c r="I490">
        <v>10141.700000000001</v>
      </c>
      <c r="J490">
        <v>9084.2000000000007</v>
      </c>
      <c r="K490" s="1">
        <v>0.89570000000000005</v>
      </c>
      <c r="L490">
        <v>1067.9000000000001</v>
      </c>
      <c r="M490" s="1">
        <v>0.1053</v>
      </c>
      <c r="N490">
        <v>7696.5</v>
      </c>
      <c r="O490" s="1">
        <v>0.75890000000000002</v>
      </c>
      <c r="P490">
        <v>2445.1999999999998</v>
      </c>
      <c r="Q490" s="1">
        <v>0.24110000000000001</v>
      </c>
      <c r="R49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90" s="2">
        <f>Tabela_base[[#This Row],[Total Streams (in millions)]]-(Tabela_base[[#This Row],[Lead Streams (in millions)]]+Tabela_base[[#This Row],[Feature Streams (in millions)]])</f>
        <v>-10.399999999999636</v>
      </c>
    </row>
    <row r="491" spans="1:19" x14ac:dyDescent="0.3">
      <c r="A491" s="20">
        <v>490</v>
      </c>
      <c r="B491" t="s">
        <v>586</v>
      </c>
      <c r="C491" t="s">
        <v>17</v>
      </c>
      <c r="D491" t="s">
        <v>18</v>
      </c>
      <c r="E491" t="s">
        <v>19</v>
      </c>
      <c r="F491" t="s">
        <v>20</v>
      </c>
      <c r="G491" t="s">
        <v>23</v>
      </c>
      <c r="H491">
        <v>2008</v>
      </c>
      <c r="I491">
        <v>9362.2999999999993</v>
      </c>
      <c r="J491">
        <v>4260.1000000000004</v>
      </c>
      <c r="K491" s="1">
        <v>0.45500000000000002</v>
      </c>
      <c r="L491">
        <v>5102.2</v>
      </c>
      <c r="M491" s="1">
        <v>0.54500000000000004</v>
      </c>
      <c r="N491">
        <v>1075.5999999999999</v>
      </c>
      <c r="O491" s="1">
        <v>0.1149</v>
      </c>
      <c r="P491">
        <v>8286.7000000000007</v>
      </c>
      <c r="Q491" s="1">
        <v>0.8851</v>
      </c>
      <c r="R49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91" s="2">
        <f>Tabela_base[[#This Row],[Total Streams (in millions)]]-(Tabela_base[[#This Row],[Lead Streams (in millions)]]+Tabela_base[[#This Row],[Feature Streams (in millions)]])</f>
        <v>0</v>
      </c>
    </row>
    <row r="492" spans="1:19" x14ac:dyDescent="0.3">
      <c r="A492" s="20">
        <v>491</v>
      </c>
      <c r="B492" t="s">
        <v>587</v>
      </c>
      <c r="C492" t="s">
        <v>17</v>
      </c>
      <c r="D492" t="s">
        <v>18</v>
      </c>
      <c r="E492" t="s">
        <v>19</v>
      </c>
      <c r="F492" t="s">
        <v>20</v>
      </c>
      <c r="G492" t="s">
        <v>23</v>
      </c>
      <c r="H492">
        <v>2017</v>
      </c>
      <c r="I492">
        <v>7061.3</v>
      </c>
      <c r="J492">
        <v>7067.3</v>
      </c>
      <c r="K492" s="1">
        <v>1.0007999999999999</v>
      </c>
      <c r="L492">
        <v>0</v>
      </c>
      <c r="M492" s="1">
        <v>0</v>
      </c>
      <c r="N492">
        <v>4346.8</v>
      </c>
      <c r="O492" s="1">
        <v>0.61560000000000004</v>
      </c>
      <c r="P492">
        <v>2714.5</v>
      </c>
      <c r="Q492" s="1">
        <v>0.38440000000000002</v>
      </c>
      <c r="R492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492" s="2">
        <f>Tabela_base[[#This Row],[Total Streams (in millions)]]-(Tabela_base[[#This Row],[Lead Streams (in millions)]]+Tabela_base[[#This Row],[Feature Streams (in millions)]])</f>
        <v>-6</v>
      </c>
    </row>
    <row r="493" spans="1:19" x14ac:dyDescent="0.3">
      <c r="A493" s="20">
        <v>492</v>
      </c>
      <c r="B493" t="s">
        <v>588</v>
      </c>
      <c r="C493" t="s">
        <v>17</v>
      </c>
      <c r="D493" t="s">
        <v>18</v>
      </c>
      <c r="E493" t="s">
        <v>19</v>
      </c>
      <c r="F493" t="s">
        <v>20</v>
      </c>
      <c r="G493" t="s">
        <v>23</v>
      </c>
      <c r="H493">
        <v>2011</v>
      </c>
      <c r="I493">
        <v>30933.8</v>
      </c>
      <c r="J493">
        <v>10464.200000000001</v>
      </c>
      <c r="K493" s="1">
        <v>0.33829999999999999</v>
      </c>
      <c r="L493">
        <v>20472.3</v>
      </c>
      <c r="M493" s="1">
        <v>0.66180000000000005</v>
      </c>
      <c r="N493">
        <v>2792.1</v>
      </c>
      <c r="O493" s="1">
        <v>9.0300000000000005E-2</v>
      </c>
      <c r="P493">
        <v>28141.7</v>
      </c>
      <c r="Q493" s="1">
        <v>0.90969999999999995</v>
      </c>
      <c r="R493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93" s="2">
        <f>Tabela_base[[#This Row],[Total Streams (in millions)]]-(Tabela_base[[#This Row],[Lead Streams (in millions)]]+Tabela_base[[#This Row],[Feature Streams (in millions)]])</f>
        <v>-2.7000000000007276</v>
      </c>
    </row>
    <row r="494" spans="1:19" x14ac:dyDescent="0.3">
      <c r="A494" s="20">
        <v>493</v>
      </c>
      <c r="B494" t="s">
        <v>589</v>
      </c>
      <c r="C494" t="s">
        <v>17</v>
      </c>
      <c r="D494" t="s">
        <v>18</v>
      </c>
      <c r="E494" t="s">
        <v>19</v>
      </c>
      <c r="F494" t="s">
        <v>20</v>
      </c>
      <c r="G494" t="s">
        <v>23</v>
      </c>
      <c r="H494">
        <v>2015</v>
      </c>
      <c r="I494">
        <v>20138.099999999999</v>
      </c>
      <c r="J494">
        <v>15305.8</v>
      </c>
      <c r="K494" s="1">
        <v>0.76</v>
      </c>
      <c r="L494">
        <v>4841.7</v>
      </c>
      <c r="M494" s="1">
        <v>0.2404</v>
      </c>
      <c r="N494">
        <v>13558.6</v>
      </c>
      <c r="O494" s="1">
        <v>0.67330000000000001</v>
      </c>
      <c r="P494">
        <v>6579.5</v>
      </c>
      <c r="Q494" s="1">
        <v>0.32669999999999999</v>
      </c>
      <c r="R494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94" s="2">
        <f>Tabela_base[[#This Row],[Total Streams (in millions)]]-(Tabela_base[[#This Row],[Lead Streams (in millions)]]+Tabela_base[[#This Row],[Feature Streams (in millions)]])</f>
        <v>-9.4000000000014552</v>
      </c>
    </row>
    <row r="495" spans="1:19" x14ac:dyDescent="0.3">
      <c r="A495" s="20">
        <v>494</v>
      </c>
      <c r="B495" t="s">
        <v>590</v>
      </c>
      <c r="C495" t="s">
        <v>17</v>
      </c>
      <c r="D495" t="s">
        <v>70</v>
      </c>
      <c r="E495" t="s">
        <v>71</v>
      </c>
      <c r="F495" t="s">
        <v>76</v>
      </c>
      <c r="G495" t="s">
        <v>21</v>
      </c>
      <c r="H495">
        <v>2011</v>
      </c>
      <c r="I495">
        <v>10914.2</v>
      </c>
      <c r="J495">
        <v>9203.4</v>
      </c>
      <c r="K495" s="1">
        <v>0.84330000000000005</v>
      </c>
      <c r="L495">
        <v>1721.9</v>
      </c>
      <c r="M495" s="1">
        <v>0.1578</v>
      </c>
      <c r="N495">
        <v>8573.2000000000007</v>
      </c>
      <c r="O495" s="1">
        <v>0.78549999999999998</v>
      </c>
      <c r="P495">
        <v>2341</v>
      </c>
      <c r="Q495" s="1">
        <v>0.2145</v>
      </c>
      <c r="R495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95" s="2">
        <f>Tabela_base[[#This Row],[Total Streams (in millions)]]-(Tabela_base[[#This Row],[Lead Streams (in millions)]]+Tabela_base[[#This Row],[Feature Streams (in millions)]])</f>
        <v>-11.099999999998545</v>
      </c>
    </row>
    <row r="496" spans="1:19" x14ac:dyDescent="0.3">
      <c r="A496" s="20">
        <v>495</v>
      </c>
      <c r="B496" t="s">
        <v>591</v>
      </c>
      <c r="C496" t="s">
        <v>17</v>
      </c>
      <c r="D496" t="s">
        <v>18</v>
      </c>
      <c r="E496" t="s">
        <v>19</v>
      </c>
      <c r="F496" t="s">
        <v>171</v>
      </c>
      <c r="G496" t="s">
        <v>23</v>
      </c>
      <c r="H496">
        <v>2019</v>
      </c>
      <c r="I496">
        <v>19727.2</v>
      </c>
      <c r="J496">
        <v>19690.8</v>
      </c>
      <c r="K496" s="1">
        <v>0.99819999999999998</v>
      </c>
      <c r="L496">
        <v>47.3</v>
      </c>
      <c r="M496" s="1">
        <v>2.3999999999999998E-3</v>
      </c>
      <c r="N496">
        <v>15838.7</v>
      </c>
      <c r="O496" s="1">
        <v>0.80289999999999995</v>
      </c>
      <c r="P496">
        <v>3888.5</v>
      </c>
      <c r="Q496" s="1">
        <v>0.1971</v>
      </c>
      <c r="R496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96" s="2">
        <f>Tabela_base[[#This Row],[Total Streams (in millions)]]-(Tabela_base[[#This Row],[Lead Streams (in millions)]]+Tabela_base[[#This Row],[Feature Streams (in millions)]])</f>
        <v>-10.899999999997817</v>
      </c>
    </row>
    <row r="497" spans="1:19" x14ac:dyDescent="0.3">
      <c r="A497" s="20">
        <v>496</v>
      </c>
      <c r="B497" t="s">
        <v>592</v>
      </c>
      <c r="C497" t="s">
        <v>49</v>
      </c>
      <c r="D497" t="s">
        <v>45</v>
      </c>
      <c r="E497" t="s">
        <v>19</v>
      </c>
      <c r="F497" t="s">
        <v>46</v>
      </c>
      <c r="G497" t="s">
        <v>23</v>
      </c>
      <c r="H497">
        <v>2008</v>
      </c>
      <c r="I497">
        <v>14221.3</v>
      </c>
      <c r="J497">
        <v>9372.1</v>
      </c>
      <c r="K497" s="1">
        <v>0.65900000000000003</v>
      </c>
      <c r="L497">
        <v>4858.7</v>
      </c>
      <c r="M497" s="1">
        <v>0.34160000000000001</v>
      </c>
      <c r="N497">
        <v>7138.3</v>
      </c>
      <c r="O497" s="1">
        <v>0.50190000000000001</v>
      </c>
      <c r="P497">
        <v>7083</v>
      </c>
      <c r="Q497" s="1">
        <v>0.49809999999999999</v>
      </c>
      <c r="R497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97" s="2">
        <f>Tabela_base[[#This Row],[Total Streams (in millions)]]-(Tabela_base[[#This Row],[Lead Streams (in millions)]]+Tabela_base[[#This Row],[Feature Streams (in millions)]])</f>
        <v>-9.5</v>
      </c>
    </row>
    <row r="498" spans="1:19" x14ac:dyDescent="0.3">
      <c r="A498" s="20">
        <v>497</v>
      </c>
      <c r="B498" t="s">
        <v>593</v>
      </c>
      <c r="C498" t="s">
        <v>17</v>
      </c>
      <c r="D498" t="s">
        <v>25</v>
      </c>
      <c r="E498" t="s">
        <v>19</v>
      </c>
      <c r="F498" t="s">
        <v>46</v>
      </c>
      <c r="G498" t="s">
        <v>23</v>
      </c>
      <c r="H498">
        <v>2010</v>
      </c>
      <c r="I498">
        <v>12650.8</v>
      </c>
      <c r="J498">
        <v>11398.2</v>
      </c>
      <c r="K498" s="1">
        <v>0.90100000000000002</v>
      </c>
      <c r="L498">
        <v>1255.5</v>
      </c>
      <c r="M498" s="1">
        <v>9.9199999999999997E-2</v>
      </c>
      <c r="N498">
        <v>5777.3</v>
      </c>
      <c r="O498" s="1">
        <v>0.45669999999999999</v>
      </c>
      <c r="P498">
        <v>6873.5</v>
      </c>
      <c r="Q498" s="1">
        <v>0.54330000000000001</v>
      </c>
      <c r="R498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498" s="2">
        <f>Tabela_base[[#This Row],[Total Streams (in millions)]]-(Tabela_base[[#This Row],[Lead Streams (in millions)]]+Tabela_base[[#This Row],[Feature Streams (in millions)]])</f>
        <v>-2.9000000000014552</v>
      </c>
    </row>
    <row r="499" spans="1:19" x14ac:dyDescent="0.3">
      <c r="A499" s="20">
        <v>498</v>
      </c>
      <c r="B499" t="s">
        <v>594</v>
      </c>
      <c r="C499" t="s">
        <v>17</v>
      </c>
      <c r="D499" t="s">
        <v>595</v>
      </c>
      <c r="E499" t="s">
        <v>19</v>
      </c>
      <c r="F499" t="s">
        <v>55</v>
      </c>
      <c r="G499" t="s">
        <v>23</v>
      </c>
      <c r="H499">
        <v>2010</v>
      </c>
      <c r="I499">
        <v>11481.4</v>
      </c>
      <c r="J499">
        <v>11486.5</v>
      </c>
      <c r="K499" s="1">
        <v>1.0004</v>
      </c>
      <c r="L499">
        <v>0</v>
      </c>
      <c r="M499" s="1">
        <v>0</v>
      </c>
      <c r="N499">
        <v>235.7</v>
      </c>
      <c r="O499" s="1">
        <v>2.0500000000000001E-2</v>
      </c>
      <c r="P499">
        <v>11245.7</v>
      </c>
      <c r="Q499" s="1">
        <v>0.97950000000000004</v>
      </c>
      <c r="R499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Inconsistency</v>
      </c>
      <c r="S499" s="2">
        <f>Tabela_base[[#This Row],[Total Streams (in millions)]]-(Tabela_base[[#This Row],[Lead Streams (in millions)]]+Tabela_base[[#This Row],[Feature Streams (in millions)]])</f>
        <v>-5.1000000000003638</v>
      </c>
    </row>
    <row r="500" spans="1:19" x14ac:dyDescent="0.3">
      <c r="A500" s="20">
        <v>499</v>
      </c>
      <c r="B500" t="s">
        <v>596</v>
      </c>
      <c r="C500" t="s">
        <v>17</v>
      </c>
      <c r="D500" t="s">
        <v>18</v>
      </c>
      <c r="E500" t="s">
        <v>41</v>
      </c>
      <c r="F500" t="s">
        <v>42</v>
      </c>
      <c r="G500" t="s">
        <v>23</v>
      </c>
      <c r="H500">
        <v>2004</v>
      </c>
      <c r="I500">
        <v>7661.6</v>
      </c>
      <c r="J500">
        <v>1713.9</v>
      </c>
      <c r="K500" s="1">
        <v>0.22370000000000001</v>
      </c>
      <c r="L500">
        <v>5947.7</v>
      </c>
      <c r="M500" s="1">
        <v>0.77629999999999999</v>
      </c>
      <c r="N500">
        <v>560.9</v>
      </c>
      <c r="O500" s="1">
        <v>7.3200000000000001E-2</v>
      </c>
      <c r="P500">
        <v>7100.7</v>
      </c>
      <c r="Q500" s="1">
        <v>0.92679999999999996</v>
      </c>
      <c r="R500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500" s="2">
        <f>Tabela_base[[#This Row],[Total Streams (in millions)]]-(Tabela_base[[#This Row],[Lead Streams (in millions)]]+Tabela_base[[#This Row],[Feature Streams (in millions)]])</f>
        <v>0</v>
      </c>
    </row>
    <row r="501" spans="1:19" x14ac:dyDescent="0.3">
      <c r="A501" s="20">
        <v>500</v>
      </c>
      <c r="B501" t="s">
        <v>597</v>
      </c>
      <c r="C501" t="s">
        <v>17</v>
      </c>
      <c r="D501" t="s">
        <v>18</v>
      </c>
      <c r="E501" t="s">
        <v>41</v>
      </c>
      <c r="F501" t="s">
        <v>42</v>
      </c>
      <c r="G501" t="s">
        <v>21</v>
      </c>
      <c r="H501">
        <v>2000</v>
      </c>
      <c r="I501">
        <v>12799.8</v>
      </c>
      <c r="J501">
        <v>5018.3999999999996</v>
      </c>
      <c r="K501" s="1">
        <v>0.3921</v>
      </c>
      <c r="L501">
        <v>7786.4</v>
      </c>
      <c r="M501" s="1">
        <v>0.60829999999999995</v>
      </c>
      <c r="N501">
        <v>1713.9</v>
      </c>
      <c r="O501" s="1">
        <v>0.13389999999999999</v>
      </c>
      <c r="P501">
        <v>11085.9</v>
      </c>
      <c r="Q501" s="1">
        <v>0.86609999999999998</v>
      </c>
      <c r="R501" s="1" t="str">
        <f>IFERROR(IF(OR(Tabela_base[[#This Row],[Lead Streams (in millions)]]&gt;Tabela_base[[#This Row],[Total Streams (in millions)]],Tabela_base[[#This Row],[Feature Streams (in millions)]]&gt;Tabela_base[[#This Row],[Total Streams (in millions)]]),"Inconsistency","OK"),"Error")</f>
        <v>OK</v>
      </c>
      <c r="S501" s="2">
        <f>Tabela_base[[#This Row],[Total Streams (in millions)]]-(Tabela_base[[#This Row],[Lead Streams (in millions)]]+Tabela_base[[#This Row],[Feature Streams (in millions)]])</f>
        <v>-5</v>
      </c>
    </row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E98F-3210-4487-A81B-A2F680D79169}">
  <dimension ref="A1"/>
  <sheetViews>
    <sheetView zoomScale="90" zoomScaleNormal="90" workbookViewId="0">
      <selection activeCell="X40" sqref="X40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5236-A336-480F-96A9-A99EBF4A2F06}">
  <dimension ref="A1:L17"/>
  <sheetViews>
    <sheetView workbookViewId="0">
      <selection activeCell="K8" sqref="K8"/>
    </sheetView>
  </sheetViews>
  <sheetFormatPr defaultRowHeight="14.4" x14ac:dyDescent="0.3"/>
  <cols>
    <col min="1" max="1" width="16.77734375" bestFit="1" customWidth="1"/>
    <col min="2" max="3" width="15.33203125" bestFit="1" customWidth="1"/>
    <col min="4" max="4" width="16.77734375" bestFit="1" customWidth="1"/>
    <col min="5" max="5" width="20.109375" bestFit="1" customWidth="1"/>
    <col min="7" max="7" width="16.77734375" bestFit="1" customWidth="1"/>
    <col min="8" max="8" width="21.5546875" bestFit="1" customWidth="1"/>
    <col min="9" max="9" width="17.77734375" bestFit="1" customWidth="1"/>
    <col min="11" max="11" width="16.77734375" bestFit="1" customWidth="1"/>
    <col min="12" max="12" width="24.44140625" bestFit="1" customWidth="1"/>
  </cols>
  <sheetData>
    <row r="1" spans="1:12" x14ac:dyDescent="0.3">
      <c r="A1" s="22" t="s">
        <v>604</v>
      </c>
      <c r="B1" t="s">
        <v>606</v>
      </c>
      <c r="D1" s="22" t="s">
        <v>604</v>
      </c>
      <c r="E1" t="s">
        <v>609</v>
      </c>
      <c r="G1" s="22" t="s">
        <v>604</v>
      </c>
      <c r="H1" t="s">
        <v>612</v>
      </c>
      <c r="K1" s="22" t="s">
        <v>604</v>
      </c>
      <c r="L1" t="s">
        <v>613</v>
      </c>
    </row>
    <row r="2" spans="1:12" x14ac:dyDescent="0.3">
      <c r="A2" s="8" t="s">
        <v>49</v>
      </c>
      <c r="B2" s="1">
        <v>0.17599999999999999</v>
      </c>
      <c r="D2" s="8" t="s">
        <v>607</v>
      </c>
      <c r="E2" s="1">
        <v>7.8E-2</v>
      </c>
      <c r="G2" s="8">
        <v>2006</v>
      </c>
      <c r="H2">
        <v>21</v>
      </c>
      <c r="K2" s="8" t="s">
        <v>20</v>
      </c>
      <c r="L2" s="1">
        <v>0.32763532763532766</v>
      </c>
    </row>
    <row r="3" spans="1:12" x14ac:dyDescent="0.3">
      <c r="A3" s="8" t="s">
        <v>17</v>
      </c>
      <c r="B3" s="1">
        <v>0.78</v>
      </c>
      <c r="D3" s="8" t="s">
        <v>608</v>
      </c>
      <c r="E3" s="1">
        <v>0.92200000000000004</v>
      </c>
      <c r="G3" s="8">
        <v>2008</v>
      </c>
      <c r="H3">
        <v>20</v>
      </c>
      <c r="K3" s="8" t="s">
        <v>46</v>
      </c>
      <c r="L3" s="1">
        <v>0.29059829059829062</v>
      </c>
    </row>
    <row r="4" spans="1:12" x14ac:dyDescent="0.3">
      <c r="A4" s="8" t="s">
        <v>44</v>
      </c>
      <c r="B4" s="1">
        <v>4.3999999999999997E-2</v>
      </c>
      <c r="D4" s="8" t="s">
        <v>605</v>
      </c>
      <c r="E4" s="1">
        <v>1</v>
      </c>
      <c r="G4" s="8">
        <v>2009</v>
      </c>
      <c r="H4">
        <v>24</v>
      </c>
      <c r="K4" s="8" t="s">
        <v>33</v>
      </c>
      <c r="L4" s="1">
        <v>8.8319088319088315E-2</v>
      </c>
    </row>
    <row r="5" spans="1:12" x14ac:dyDescent="0.3">
      <c r="A5" s="8" t="s">
        <v>605</v>
      </c>
      <c r="B5" s="1">
        <v>1</v>
      </c>
      <c r="G5" s="8">
        <v>2010</v>
      </c>
      <c r="H5">
        <v>28</v>
      </c>
      <c r="K5" s="8" t="s">
        <v>42</v>
      </c>
      <c r="L5" s="1">
        <v>0.12250712250712251</v>
      </c>
    </row>
    <row r="6" spans="1:12" x14ac:dyDescent="0.3">
      <c r="G6" s="8">
        <v>2011</v>
      </c>
      <c r="H6">
        <v>22</v>
      </c>
      <c r="K6" s="8" t="s">
        <v>29</v>
      </c>
      <c r="L6" s="1">
        <v>0.17094017094017094</v>
      </c>
    </row>
    <row r="7" spans="1:12" x14ac:dyDescent="0.3">
      <c r="G7" s="8">
        <v>2012</v>
      </c>
      <c r="H7">
        <v>27</v>
      </c>
      <c r="K7" s="8" t="s">
        <v>605</v>
      </c>
      <c r="L7" s="1">
        <v>1</v>
      </c>
    </row>
    <row r="8" spans="1:12" x14ac:dyDescent="0.3">
      <c r="G8" s="8">
        <v>2013</v>
      </c>
      <c r="H8">
        <v>24</v>
      </c>
    </row>
    <row r="9" spans="1:12" x14ac:dyDescent="0.3">
      <c r="A9" s="22" t="s">
        <v>604</v>
      </c>
      <c r="B9" t="s">
        <v>610</v>
      </c>
      <c r="D9" s="22" t="s">
        <v>604</v>
      </c>
      <c r="E9" t="s">
        <v>611</v>
      </c>
      <c r="G9" s="8">
        <v>2014</v>
      </c>
      <c r="H9">
        <v>32</v>
      </c>
    </row>
    <row r="10" spans="1:12" x14ac:dyDescent="0.3">
      <c r="A10" s="8" t="s">
        <v>62</v>
      </c>
      <c r="B10">
        <v>18</v>
      </c>
      <c r="D10" s="8" t="s">
        <v>21</v>
      </c>
      <c r="E10" s="1">
        <v>0.254</v>
      </c>
      <c r="G10" s="8">
        <v>2015</v>
      </c>
      <c r="H10">
        <v>29</v>
      </c>
    </row>
    <row r="11" spans="1:12" x14ac:dyDescent="0.3">
      <c r="A11" s="8" t="s">
        <v>103</v>
      </c>
      <c r="B11">
        <v>16</v>
      </c>
      <c r="D11" s="8" t="s">
        <v>23</v>
      </c>
      <c r="E11" s="1">
        <v>0.746</v>
      </c>
      <c r="G11" s="8">
        <v>2017</v>
      </c>
      <c r="H11">
        <v>28</v>
      </c>
    </row>
    <row r="12" spans="1:12" x14ac:dyDescent="0.3">
      <c r="A12" s="8" t="s">
        <v>57</v>
      </c>
      <c r="B12">
        <v>27</v>
      </c>
      <c r="D12" s="8" t="s">
        <v>605</v>
      </c>
      <c r="E12" s="1">
        <v>1</v>
      </c>
      <c r="G12" s="8" t="s">
        <v>605</v>
      </c>
      <c r="H12">
        <v>255</v>
      </c>
    </row>
    <row r="13" spans="1:12" x14ac:dyDescent="0.3">
      <c r="A13" s="8" t="s">
        <v>25</v>
      </c>
      <c r="B13">
        <v>55</v>
      </c>
    </row>
    <row r="14" spans="1:12" x14ac:dyDescent="0.3">
      <c r="A14" s="8" t="s">
        <v>18</v>
      </c>
      <c r="B14">
        <v>265</v>
      </c>
    </row>
    <row r="15" spans="1:12" x14ac:dyDescent="0.3">
      <c r="A15" s="8" t="s">
        <v>605</v>
      </c>
      <c r="B15">
        <v>381</v>
      </c>
    </row>
    <row r="17" spans="4:4" x14ac:dyDescent="0.3">
      <c r="D17">
        <f>SUM('Spotify Streaming Performance D'!S:S)</f>
        <v>-2706.4000000000005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Search Bar</vt:lpstr>
      <vt:lpstr>Search Bar (recommended)</vt:lpstr>
      <vt:lpstr>Spotify Streaming Performance D</vt:lpstr>
      <vt:lpstr>Dashboard</vt:lpstr>
      <vt:lpstr>supplementary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Jaré Albino</dc:creator>
  <cp:lastModifiedBy>Jaré Albino</cp:lastModifiedBy>
  <dcterms:created xsi:type="dcterms:W3CDTF">2026-08-22T21:50:57Z</dcterms:created>
  <dcterms:modified xsi:type="dcterms:W3CDTF">2026-08-23T20:43:08Z</dcterms:modified>
</cp:coreProperties>
</file>